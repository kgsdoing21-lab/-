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 비교" sheetId="1" state="visible" r:id="rId3"/>
    <sheet name="차이·확인사항" sheetId="2" state="visible" r:id="rId4"/>
    <sheet name="대사내역" sheetId="3" state="visible" r:id="rId5"/>
    <sheet name="결제내역(참고)" sheetId="4" state="visible" r:id="rId6"/>
  </sheets>
  <definedNames>
    <definedName function="false" hidden="true" localSheetId="2" name="_xlnm._FilterDatabase" vbProcedure="false">대사내역!$A$1:$N$113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2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미션글로벌 파일 「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년 매입」 시트 「과세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면세」 합계행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)</t>
        </r>
      </text>
    </comment>
    <comment ref="C33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미션글로벌 파일 「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년 매출」 시트 「과세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면세」 합계행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)</t>
        </r>
      </text>
    </comment>
    <comment ref="C34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미션글로벌 파일 「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 매입」 시트 「과세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면세」 합계행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)</t>
        </r>
      </text>
    </comment>
    <comment ref="C35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미션글로벌 파일 「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 매출」 시트 「과세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면세」 합계행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원장 차변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태향이 미션에 판매</t>
        </r>
        <r>
          <rPr>
            <sz val="10"/>
            <rFont val="Arial"/>
            <family val="2"/>
          </rPr>
          <t xml:space="preserve">(= </t>
        </r>
        <r>
          <rPr>
            <sz val="10"/>
            <rFont val="WenQuanYi Zen Hei"/>
            <family val="2"/>
          </rPr>
          <t xml:space="preserve">미션 매입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WenQuanYi Zen Hei"/>
            <family val="2"/>
          </rPr>
          <t xml:space="preserve">원장 대변 중 결제 제외분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미션이 태향에 판매</t>
        </r>
        <r>
          <rPr>
            <sz val="10"/>
            <rFont val="Arial"/>
            <family val="2"/>
          </rPr>
          <t xml:space="preserve">(= </t>
        </r>
        <r>
          <rPr>
            <sz val="10"/>
            <rFont val="WenQuanYi Zen Hei"/>
            <family val="2"/>
          </rPr>
          <t xml:space="preserve">미션 매출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외상매출금과 상계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대금 입금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지급 행은 「결제내역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」 시트로 분리</t>
        </r>
        <r>
          <rPr>
            <sz val="10"/>
            <rFont val="Arial"/>
            <family val="2"/>
          </rPr>
          <t xml:space="preserve">.</t>
        </r>
      </text>
    </comment>
    <comment ref="K1" authorId="0">
      <text>
        <r>
          <rPr>
            <sz val="10"/>
            <rFont val="WenQuanYi Zen Hei"/>
            <family val="2"/>
          </rPr>
          <t xml:space="preserve">과세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합계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부가세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WenQuanYi Zen Hei"/>
            <family val="2"/>
          </rPr>
          <t xml:space="preserve">면세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미션글로벌 매입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매출 파일</t>
        </r>
      </text>
    </comment>
  </commentList>
</comments>
</file>

<file path=xl/sharedStrings.xml><?xml version="1.0" encoding="utf-8"?>
<sst xmlns="http://schemas.openxmlformats.org/spreadsheetml/2006/main" count="1035" uniqueCount="311">
  <si>
    <r>
      <rPr>
        <b val="true"/>
        <sz val="14"/>
        <color rgb="FF1F3A5F"/>
        <rFont val="WenQuanYi Zen Hei"/>
        <family val="2"/>
      </rPr>
      <t xml:space="preserve">태향 거래처원장 </t>
    </r>
    <r>
      <rPr>
        <b val="true"/>
        <sz val="14"/>
        <color rgb="FF1F3A5F"/>
        <rFont val="Arial"/>
        <family val="0"/>
        <charset val="1"/>
      </rPr>
      <t xml:space="preserve">vs </t>
    </r>
    <r>
      <rPr>
        <b val="true"/>
        <sz val="14"/>
        <color rgb="FF1F3A5F"/>
        <rFont val="WenQuanYi Zen Hei"/>
        <family val="2"/>
      </rPr>
      <t xml:space="preserve">미션글로벌 매출</t>
    </r>
    <r>
      <rPr>
        <b val="true"/>
        <sz val="14"/>
        <color rgb="FF1F3A5F"/>
        <rFont val="Arial"/>
        <family val="0"/>
        <charset val="1"/>
      </rPr>
      <t xml:space="preserve">·</t>
    </r>
    <r>
      <rPr>
        <b val="true"/>
        <sz val="14"/>
        <color rgb="FF1F3A5F"/>
        <rFont val="WenQuanYi Zen Hei"/>
        <family val="2"/>
      </rPr>
      <t xml:space="preserve">매입 — 월별 대사표 </t>
    </r>
    <r>
      <rPr>
        <b val="true"/>
        <sz val="14"/>
        <color rgb="FF1F3A5F"/>
        <rFont val="Arial"/>
        <family val="0"/>
        <charset val="1"/>
      </rPr>
      <t xml:space="preserve">(2025.01 ~ 2026.09)</t>
    </r>
  </si>
  <si>
    <r>
      <rPr>
        <i val="true"/>
        <sz val="10"/>
        <color rgb="FF5B6475"/>
        <rFont val="WenQuanYi Zen Hei"/>
        <family val="2"/>
      </rPr>
      <t xml:space="preserve">원장 금액은 대금 결제</t>
    </r>
    <r>
      <rPr>
        <i val="true"/>
        <sz val="10"/>
        <color rgb="FF5B6475"/>
        <rFont val="Arial"/>
        <family val="0"/>
        <charset val="1"/>
      </rPr>
      <t xml:space="preserve">(</t>
    </r>
    <r>
      <rPr>
        <i val="true"/>
        <sz val="10"/>
        <color rgb="FF5B6475"/>
        <rFont val="WenQuanYi Zen Hei"/>
        <family val="2"/>
      </rPr>
      <t xml:space="preserve">입금</t>
    </r>
    <r>
      <rPr>
        <i val="true"/>
        <sz val="10"/>
        <color rgb="FF5B6475"/>
        <rFont val="Arial"/>
        <family val="0"/>
        <charset val="1"/>
      </rPr>
      <t xml:space="preserve">·</t>
    </r>
    <r>
      <rPr>
        <i val="true"/>
        <sz val="10"/>
        <color rgb="FF5B6475"/>
        <rFont val="WenQuanYi Zen Hei"/>
        <family val="2"/>
      </rPr>
      <t xml:space="preserve">지급</t>
    </r>
    <r>
      <rPr>
        <i val="true"/>
        <sz val="10"/>
        <color rgb="FF5B6475"/>
        <rFont val="Arial"/>
        <family val="0"/>
        <charset val="1"/>
      </rPr>
      <t xml:space="preserve">)</t>
    </r>
    <r>
      <rPr>
        <i val="true"/>
        <sz val="10"/>
        <color rgb="FF5B6475"/>
        <rFont val="WenQuanYi Zen Hei"/>
        <family val="2"/>
      </rPr>
      <t xml:space="preserve">를 제외한 거래분만 집계</t>
    </r>
    <r>
      <rPr>
        <i val="true"/>
        <sz val="10"/>
        <color rgb="FF5B6475"/>
        <rFont val="Arial"/>
        <family val="0"/>
        <charset val="1"/>
      </rPr>
      <t xml:space="preserve">. </t>
    </r>
    <r>
      <rPr>
        <i val="true"/>
        <sz val="10"/>
        <color rgb="FF5B6475"/>
        <rFont val="WenQuanYi Zen Hei"/>
        <family val="2"/>
      </rPr>
      <t xml:space="preserve">모든 숫자는 「대사내역」 시트에서 </t>
    </r>
    <r>
      <rPr>
        <i val="true"/>
        <sz val="10"/>
        <color rgb="FF5B6475"/>
        <rFont val="Arial"/>
        <family val="0"/>
        <charset val="1"/>
      </rPr>
      <t xml:space="preserve">SUMIFS</t>
    </r>
    <r>
      <rPr>
        <i val="true"/>
        <sz val="10"/>
        <color rgb="FF5B6475"/>
        <rFont val="WenQuanYi Zen Hei"/>
        <family val="2"/>
      </rPr>
      <t xml:space="preserve">로 계산</t>
    </r>
    <r>
      <rPr>
        <i val="true"/>
        <sz val="10"/>
        <color rgb="FF5B6475"/>
        <rFont val="Arial"/>
        <family val="0"/>
        <charset val="1"/>
      </rPr>
      <t xml:space="preserve">.</t>
    </r>
  </si>
  <si>
    <t xml:space="preserve">연도</t>
  </si>
  <si>
    <t xml:space="preserve">월</t>
  </si>
  <si>
    <r>
      <rPr>
        <b val="true"/>
        <sz val="10"/>
        <color rgb="FFFFFFFF"/>
        <rFont val="WenQuanYi Zen Hei"/>
        <family val="2"/>
      </rPr>
      <t xml:space="preserve">원장 차변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태향→미션 판매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</si>
  <si>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미션 매입</t>
  </si>
  <si>
    <t xml:space="preserve">차이</t>
  </si>
  <si>
    <r>
      <rPr>
        <b val="true"/>
        <sz val="10"/>
        <color rgb="FFFFFFFF"/>
        <rFont val="WenQuanYi Zen Hei"/>
        <family val="2"/>
      </rPr>
      <t xml:space="preserve">원장 대변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상계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미션 판매분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</si>
  <si>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미션 매출</t>
  </si>
  <si>
    <t xml:space="preserve">불일치 건수</t>
  </si>
  <si>
    <t xml:space="preserve">판정</t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</si>
  <si>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합계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</si>
  <si>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합계</t>
    </r>
  </si>
  <si>
    <r>
      <rPr>
        <b val="true"/>
        <sz val="10"/>
        <color rgb="FF1F3A5F"/>
        <rFont val="WenQuanYi Zen Hei"/>
        <family val="2"/>
      </rPr>
      <t xml:space="preserve">검증 — 미션 파일 「과세</t>
    </r>
    <r>
      <rPr>
        <b val="true"/>
        <sz val="10"/>
        <color rgb="FF1F3A5F"/>
        <rFont val="Arial"/>
        <family val="0"/>
        <charset val="1"/>
      </rPr>
      <t xml:space="preserve">+</t>
    </r>
    <r>
      <rPr>
        <b val="true"/>
        <sz val="10"/>
        <color rgb="FF1F3A5F"/>
        <rFont val="WenQuanYi Zen Hei"/>
        <family val="2"/>
      </rPr>
      <t xml:space="preserve">면세」 합계와 대조</t>
    </r>
  </si>
  <si>
    <t xml:space="preserve">구분</t>
  </si>
  <si>
    <t xml:space="preserve">미션 파일 합계</t>
  </si>
  <si>
    <t xml:space="preserve">대사내역 집계</t>
  </si>
  <si>
    <t xml:space="preserve">매입</t>
  </si>
  <si>
    <t xml:space="preserve">매출</t>
  </si>
  <si>
    <t xml:space="preserve">차이 및 확인 필요 사항</t>
  </si>
  <si>
    <t xml:space="preserve">No</t>
  </si>
  <si>
    <t xml:space="preserve">분류</t>
  </si>
  <si>
    <t xml:space="preserve">연월</t>
  </si>
  <si>
    <t xml:space="preserve">일자</t>
  </si>
  <si>
    <t xml:space="preserve">금액</t>
  </si>
  <si>
    <t xml:space="preserve">내용</t>
  </si>
  <si>
    <t xml:space="preserve">조치 제안</t>
  </si>
  <si>
    <t xml:space="preserve">금액 불일치</t>
  </si>
  <si>
    <t xml:space="preserve">2026.09</t>
  </si>
  <si>
    <t xml:space="preserve">09-30</t>
  </si>
  <si>
    <r>
      <rPr>
        <sz val="10"/>
        <rFont val="WenQuanYi Zen Hei"/>
        <family val="2"/>
      </rPr>
      <t xml:space="preserve">미션 매입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「수입대행 수수료」 </t>
    </r>
    <r>
      <rPr>
        <sz val="10"/>
        <rFont val="Arial"/>
        <family val="0"/>
        <charset val="1"/>
      </rPr>
      <t xml:space="preserve">2,160,313</t>
    </r>
    <r>
      <rPr>
        <sz val="10"/>
        <rFont val="WenQuanYi Zen Hei"/>
        <family val="2"/>
      </rPr>
      <t xml:space="preserve">원이 있으나 태향 원장에 없음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같은 날 수입원금 </t>
    </r>
    <r>
      <rPr>
        <sz val="10"/>
        <rFont val="Arial"/>
        <family val="0"/>
        <charset val="1"/>
      </rPr>
      <t xml:space="preserve">19,459,211</t>
    </r>
    <r>
      <rPr>
        <sz val="10"/>
        <rFont val="WenQuanYi Zen Hei"/>
        <family val="2"/>
      </rPr>
      <t xml:space="preserve">원은 양쪽 모두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</si>
  <si>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태향 원장에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 수입대행 수수료 반영 여부 확인</t>
    </r>
  </si>
  <si>
    <t xml:space="preserve">2025.12</t>
  </si>
  <si>
    <t xml:space="preserve">12-10</t>
  </si>
  <si>
    <r>
      <rPr>
        <sz val="10"/>
        <rFont val="WenQuanYi Zen Hei"/>
        <family val="2"/>
      </rPr>
      <t xml:space="preserve">태향 원장 대변 「</t>
    </r>
    <r>
      <rPr>
        <sz val="10"/>
        <rFont val="Arial"/>
        <family val="0"/>
        <charset val="1"/>
      </rPr>
      <t xml:space="preserve">25.11</t>
    </r>
    <r>
      <rPr>
        <sz val="10"/>
        <rFont val="WenQuanYi Zen Hei"/>
        <family val="2"/>
      </rPr>
      <t xml:space="preserve">월 미션글로벌 부자재 구매비」 </t>
    </r>
    <r>
      <rPr>
        <sz val="10"/>
        <rFont val="Arial"/>
        <family val="0"/>
        <charset val="1"/>
      </rPr>
      <t xml:space="preserve">-202,950</t>
    </r>
    <r>
      <rPr>
        <sz val="10"/>
        <rFont val="WenQuanYi Zen Hei"/>
        <family val="2"/>
      </rPr>
      <t xml:space="preserve">원 — 미션 매출에 대응 전표 없음</t>
    </r>
  </si>
  <si>
    <r>
      <rPr>
        <sz val="10"/>
        <rFont val="WenQuanYi Zen Hei"/>
        <family val="2"/>
      </rPr>
      <t xml:space="preserve">미션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매출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부자재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조정 전표 필요 여부 확인</t>
    </r>
  </si>
  <si>
    <r>
      <rPr>
        <sz val="10"/>
        <rFont val="WenQuanYi Zen Hei"/>
        <family val="2"/>
      </rPr>
      <t xml:space="preserve">원장에만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순액 </t>
    </r>
    <r>
      <rPr>
        <sz val="10"/>
        <rFont val="Arial"/>
        <family val="0"/>
        <charset val="1"/>
      </rPr>
      <t xml:space="preserve">0)</t>
    </r>
  </si>
  <si>
    <t xml:space="preserve">2025.03</t>
  </si>
  <si>
    <t xml:space="preserve">03-25·26</t>
  </si>
  <si>
    <r>
      <rPr>
        <sz val="10"/>
        <rFont val="WenQuanYi Zen Hei"/>
        <family val="2"/>
      </rPr>
      <t xml:space="preserve">매출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매입</t>
    </r>
  </si>
  <si>
    <r>
      <rPr>
        <sz val="10"/>
        <rFont val="WenQuanYi Zen Hei"/>
        <family val="2"/>
      </rPr>
      <t xml:space="preserve">태향 원장에 「미션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수출운송비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」 대변 </t>
    </r>
    <r>
      <rPr>
        <sz val="10"/>
        <rFont val="Arial"/>
        <family val="0"/>
        <charset val="1"/>
      </rPr>
      <t xml:space="preserve">850,450 / </t>
    </r>
    <r>
      <rPr>
        <sz val="10"/>
        <rFont val="WenQuanYi Zen Hei"/>
        <family val="2"/>
      </rPr>
      <t xml:space="preserve">차변 </t>
    </r>
    <r>
      <rPr>
        <sz val="10"/>
        <rFont val="Arial"/>
        <family val="0"/>
        <charset val="1"/>
      </rPr>
      <t xml:space="preserve">850,450 — </t>
    </r>
    <r>
      <rPr>
        <sz val="10"/>
        <rFont val="WenQuanYi Zen Hei"/>
        <family val="2"/>
      </rPr>
      <t xml:space="preserve">미션 장부에는 없음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서로 상계되어 잔액 영향 없음</t>
    </r>
  </si>
  <si>
    <r>
      <rPr>
        <sz val="10"/>
        <rFont val="WenQuanYi Zen Hei"/>
        <family val="2"/>
      </rPr>
      <t xml:space="preserve">정정 분개로 보이며 조치 불요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필요 시 원장에서 삭제</t>
    </r>
  </si>
  <si>
    <t xml:space="preserve">계정 오류</t>
  </si>
  <si>
    <t xml:space="preserve">2025.09</t>
  </si>
  <si>
    <t xml:space="preserve">미션 매출 전표 차변계정이 「미지급금」 — 다른 달은 모두 「외상매출금」</t>
  </si>
  <si>
    <t xml:space="preserve">외상매출금으로 정정</t>
  </si>
  <si>
    <t xml:space="preserve">계정 혼용</t>
  </si>
  <si>
    <t xml:space="preserve">2025.04</t>
  </si>
  <si>
    <t xml:space="preserve">04-07·30</t>
  </si>
  <si>
    <r>
      <rPr>
        <sz val="10"/>
        <rFont val="WenQuanYi Zen Hei"/>
        <family val="2"/>
      </rPr>
      <t xml:space="preserve">물류대행비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기타 수수료 </t>
    </r>
    <r>
      <rPr>
        <sz val="10"/>
        <rFont val="Arial"/>
        <family val="0"/>
        <charset val="1"/>
      </rPr>
      <t xml:space="preserve">4,125,000) </t>
    </r>
    <r>
      <rPr>
        <sz val="10"/>
        <rFont val="WenQuanYi Zen Hei"/>
        <family val="2"/>
      </rPr>
      <t xml:space="preserve">차변계정이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월만 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운반비」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나머지 달은 「상품」</t>
    </r>
  </si>
  <si>
    <t xml:space="preserve">계정 통일</t>
  </si>
  <si>
    <t xml:space="preserve">2025.10</t>
  </si>
  <si>
    <t xml:space="preserve">10-27</t>
  </si>
  <si>
    <r>
      <rPr>
        <sz val="10"/>
        <rFont val="WenQuanYi Zen Hei"/>
        <family val="2"/>
      </rPr>
      <t xml:space="preserve">수입원금 </t>
    </r>
    <r>
      <rPr>
        <sz val="10"/>
        <rFont val="Arial"/>
        <family val="0"/>
        <charset val="1"/>
      </rPr>
      <t xml:space="preserve">7,173,170 · </t>
    </r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1,080,927</t>
    </r>
    <r>
      <rPr>
        <sz val="10"/>
        <rFont val="WenQuanYi Zen Hei"/>
        <family val="2"/>
      </rPr>
      <t xml:space="preserve">을 「미착품」으로 처리 —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다른 달은 「상품」</t>
    </r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</si>
  <si>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년은 수입 건 모두 미착품 → 처리 기준 확인</t>
    </r>
  </si>
  <si>
    <t xml:space="preserve">계정 확인</t>
  </si>
  <si>
    <t xml:space="preserve">2026.03</t>
  </si>
  <si>
    <t xml:space="preserve">03-31</t>
  </si>
  <si>
    <r>
      <rPr>
        <sz val="10"/>
        <rFont val="WenQuanYi Zen Hei"/>
        <family val="2"/>
      </rPr>
      <t xml:space="preserve">월 상품 매입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포멜로 인 시럽 외 </t>
    </r>
    <r>
      <rPr>
        <sz val="10"/>
        <rFont val="Arial"/>
        <family val="0"/>
        <charset val="1"/>
      </rPr>
      <t xml:space="preserve">373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「미착품」으로 처리 — 다른 달 상품 매입은 「상품」</t>
    </r>
  </si>
  <si>
    <t xml:space="preserve">상품으로 정정 또는 미착품 대체 전표 확인</t>
  </si>
  <si>
    <t xml:space="preserve">2026.08</t>
  </si>
  <si>
    <t xml:space="preserve">08-31</t>
  </si>
  <si>
    <r>
      <rPr>
        <sz val="10"/>
        <rFont val="WenQuanYi Zen Hei"/>
        <family val="2"/>
      </rPr>
      <t xml:space="preserve">월 상품 매입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블랙타피오카즉석컵펄 외 </t>
    </r>
    <r>
      <rPr>
        <sz val="10"/>
        <rFont val="Arial"/>
        <family val="0"/>
        <charset val="1"/>
      </rPr>
      <t xml:space="preserve">282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「미착품」으로 처리</t>
    </r>
  </si>
  <si>
    <t xml:space="preserve">위와 동일</t>
  </si>
  <si>
    <t xml:space="preserve">귀속월</t>
  </si>
  <si>
    <t xml:space="preserve">2026.01</t>
  </si>
  <si>
    <t xml:space="preserve">01-31</t>
  </si>
  <si>
    <r>
      <rPr>
        <sz val="10"/>
        <rFont val="WenQuanYi Zen Hei"/>
        <family val="2"/>
      </rPr>
      <t xml:space="preserve">적요상 「</t>
    </r>
    <r>
      <rPr>
        <sz val="10"/>
        <rFont val="Arial"/>
        <family val="0"/>
        <charset val="1"/>
      </rPr>
      <t xml:space="preserve">25.12</t>
    </r>
    <r>
      <rPr>
        <sz val="10"/>
        <rFont val="WenQuanYi Zen Hei"/>
        <family val="2"/>
      </rPr>
      <t xml:space="preserve">」 거래</t>
    </r>
    <r>
      <rPr>
        <sz val="10"/>
        <rFont val="Arial"/>
        <family val="0"/>
        <charset val="1"/>
      </rPr>
      <t xml:space="preserve">(14,103,365 + 324,000)</t>
    </r>
    <r>
      <rPr>
        <sz val="10"/>
        <rFont val="WenQuanYi Zen Hei"/>
        <family val="2"/>
      </rPr>
      <t xml:space="preserve">를 양쪽 모두 </t>
    </r>
    <r>
      <rPr>
        <sz val="10"/>
        <rFont val="Arial"/>
        <family val="0"/>
        <charset val="1"/>
      </rPr>
      <t xml:space="preserve">2026.1</t>
    </r>
    <r>
      <rPr>
        <sz val="10"/>
        <rFont val="WenQuanYi Zen Hei"/>
        <family val="2"/>
      </rPr>
      <t xml:space="preserve">월로 처리 —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매출에서 누락</t>
    </r>
  </si>
  <si>
    <r>
      <rPr>
        <sz val="10"/>
        <rFont val="WenQuanYi Zen Hei"/>
        <family val="2"/>
      </rPr>
      <t xml:space="preserve">부가세 신고 귀속</t>
    </r>
    <r>
      <rPr>
        <sz val="10"/>
        <rFont val="Arial"/>
        <family val="0"/>
        <charset val="1"/>
      </rPr>
      <t xml:space="preserve">(2025 2</t>
    </r>
    <r>
      <rPr>
        <sz val="10"/>
        <rFont val="WenQuanYi Zen Hei"/>
        <family val="2"/>
      </rPr>
      <t xml:space="preserve">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확인</t>
    </r>
  </si>
  <si>
    <t xml:space="preserve">03-02</t>
  </si>
  <si>
    <r>
      <rPr>
        <sz val="10"/>
        <rFont val="WenQuanYi Zen Hei"/>
        <family val="2"/>
      </rPr>
      <t xml:space="preserve">적요상 「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월」 거래를 양쪽 모두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일로 처리</t>
    </r>
  </si>
  <si>
    <t xml:space="preserve">세금계산서 작성일자 확인</t>
  </si>
  <si>
    <t xml:space="preserve">참고</t>
  </si>
  <si>
    <t xml:space="preserve">2026.03~06</t>
  </si>
  <si>
    <r>
      <rPr>
        <sz val="10"/>
        <rFont val="WenQuanYi Zen Hei"/>
        <family val="2"/>
      </rPr>
      <t xml:space="preserve">우베 파우더 매출 </t>
    </r>
    <r>
      <rPr>
        <sz val="10"/>
        <rFont val="Arial"/>
        <family val="0"/>
        <charset val="1"/>
      </rPr>
      <t xml:space="preserve">57,750,000(04-14) → </t>
    </r>
    <r>
      <rPr>
        <sz val="10"/>
        <rFont val="WenQuanYi Zen Hei"/>
        <family val="2"/>
      </rPr>
      <t xml:space="preserve">전액 취소</t>
    </r>
    <r>
      <rPr>
        <sz val="10"/>
        <rFont val="Arial"/>
        <family val="0"/>
        <charset val="1"/>
      </rPr>
      <t xml:space="preserve">(06-29). </t>
    </r>
    <r>
      <rPr>
        <sz val="10"/>
        <rFont val="WenQuanYi Zen Hei"/>
        <family val="2"/>
      </rPr>
      <t xml:space="preserve">원장에는 </t>
    </r>
    <r>
      <rPr>
        <sz val="10"/>
        <rFont val="Arial"/>
        <family val="0"/>
        <charset val="1"/>
      </rPr>
      <t xml:space="preserve">3/12 </t>
    </r>
    <r>
      <rPr>
        <sz val="10"/>
        <rFont val="WenQuanYi Zen Hei"/>
        <family val="2"/>
      </rPr>
      <t xml:space="preserve">「미션글로벌 지급」</t>
    </r>
    <r>
      <rPr>
        <sz val="10"/>
        <rFont val="Arial"/>
        <family val="0"/>
        <charset val="1"/>
      </rPr>
      <t xml:space="preserve">, 4/16 </t>
    </r>
    <r>
      <rPr>
        <sz val="10"/>
        <rFont val="WenQuanYi Zen Hei"/>
        <family val="2"/>
      </rPr>
      <t xml:space="preserve">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미션글로벌」 차변 </t>
    </r>
    <r>
      <rPr>
        <sz val="10"/>
        <rFont val="Arial"/>
        <family val="0"/>
        <charset val="1"/>
      </rPr>
      <t xml:space="preserve">57,750,000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건 있음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결제내역 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</si>
  <si>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양쪽 장부는 일치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지급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건의 성격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선급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반환 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확인</t>
    </r>
  </si>
  <si>
    <t xml:space="preserve">2025.02</t>
  </si>
  <si>
    <t xml:space="preserve">02-28</t>
  </si>
  <si>
    <r>
      <rPr>
        <sz val="10"/>
        <rFont val="WenQuanYi Zen Hei"/>
        <family val="2"/>
      </rPr>
      <t xml:space="preserve">미션 매출 품명이 「</t>
    </r>
    <r>
      <rPr>
        <sz val="10"/>
        <rFont val="Arial"/>
        <family val="0"/>
        <charset val="1"/>
      </rPr>
      <t xml:space="preserve">000</t>
    </r>
    <r>
      <rPr>
        <sz val="10"/>
        <rFont val="WenQuanYi Zen Hei"/>
        <family val="2"/>
      </rPr>
      <t xml:space="preserve">」</t>
    </r>
  </si>
  <si>
    <t xml:space="preserve">품명 보완</t>
  </si>
  <si>
    <r>
      <rPr>
        <sz val="10"/>
        <rFont val="WenQuanYi Zen Hei"/>
        <family val="2"/>
      </rPr>
      <t xml:space="preserve">매입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매출</t>
    </r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</si>
  <si>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 월말 상품 매출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태향→미션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미션 매출 전표가 양쪽 모두 아직 없음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</si>
  <si>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 마감 후 재대사</t>
    </r>
  </si>
  <si>
    <t xml:space="preserve">원장 일자</t>
  </si>
  <si>
    <r>
      <rPr>
        <b val="true"/>
        <sz val="10"/>
        <color rgb="FFFFFFFF"/>
        <rFont val="WenQuanYi Zen Hei"/>
        <family val="2"/>
      </rPr>
      <t xml:space="preserve">원장 적요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태향 거래처원장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</si>
  <si>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원장 금액</t>
  </si>
  <si>
    <t xml:space="preserve">미션 일자</t>
  </si>
  <si>
    <t xml:space="preserve">미션 품명</t>
  </si>
  <si>
    <t xml:space="preserve">유형</t>
  </si>
  <si>
    <r>
      <rPr>
        <b val="true"/>
        <sz val="10"/>
        <color rgb="FFFFFFFF"/>
        <rFont val="WenQuanYi Zen Hei"/>
        <family val="2"/>
      </rPr>
      <t xml:space="preserve">미션 계정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차변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대변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</si>
  <si>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미션 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합계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</si>
  <si>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차이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원장</t>
    </r>
    <r>
      <rPr>
        <b val="true"/>
        <sz val="10"/>
        <color rgb="FFFFFFFF"/>
        <rFont val="Arial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미션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</si>
  <si>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결과</t>
  </si>
  <si>
    <t xml:space="preserve">비고</t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</si>
  <si>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500G960 X 2,200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</si>
  <si>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</t>
    </r>
  </si>
  <si>
    <t xml:space="preserve">면세</t>
  </si>
  <si>
    <r>
      <rPr>
        <sz val="10"/>
        <rFont val="WenQuanYi Zen Hei"/>
        <family val="2"/>
      </rPr>
      <t xml:space="preserve">상품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미지급금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</si>
  <si>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바닐라빈파우더 </t>
    </r>
    <r>
      <rPr>
        <sz val="10"/>
        <rFont val="Arial"/>
        <family val="0"/>
        <charset val="1"/>
      </rPr>
      <t xml:space="preserve">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523</t>
    </r>
    <r>
      <rPr>
        <sz val="10"/>
        <rFont val="WenQuanYi Zen Hei"/>
        <family val="2"/>
      </rPr>
      <t xml:space="preserve">건</t>
    </r>
  </si>
  <si>
    <t xml:space="preserve">과세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</si>
  <si>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물류대행비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 수수료 </t>
    </r>
    <r>
      <rPr>
        <sz val="10"/>
        <rFont val="Arial"/>
        <family val="0"/>
        <charset val="1"/>
      </rPr>
      <t xml:space="preserve">1 X 3,750,000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</si>
  <si>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물류대행비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 수수료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</si>
  <si>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원두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하우스블렌드 </t>
    </r>
    <r>
      <rPr>
        <sz val="10"/>
        <rFont val="Arial"/>
        <family val="0"/>
        <charset val="1"/>
      </rPr>
      <t xml:space="preserve">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272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</si>
  <si>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500G960 X 2,090</t>
    </r>
  </si>
  <si>
    <t xml:space="preserve">03-10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</si>
  <si>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물류대행비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 수수료 </t>
    </r>
    <r>
      <rPr>
        <sz val="10"/>
        <rFont val="Arial"/>
        <family val="0"/>
        <charset val="1"/>
      </rPr>
      <t xml:space="preserve">-1 X 3,750,000</t>
    </r>
  </si>
  <si>
    <t xml:space="preserve">03-26</t>
  </si>
  <si>
    <t xml:space="preserve">미션（수출운송비）</t>
  </si>
  <si>
    <r>
      <rPr>
        <sz val="10"/>
        <rFont val="WenQuanYi Zen Hei"/>
        <family val="2"/>
      </rPr>
      <t xml:space="preserve">원장에만 있음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수출운송비 — </t>
    </r>
    <r>
      <rPr>
        <sz val="10"/>
        <rFont val="Arial"/>
        <family val="0"/>
        <charset val="1"/>
      </rPr>
      <t xml:space="preserve">03-25 </t>
    </r>
    <r>
      <rPr>
        <sz val="10"/>
        <rFont val="WenQuanYi Zen Hei"/>
        <family val="2"/>
      </rPr>
      <t xml:space="preserve">대변과 상계되어 순액 </t>
    </r>
    <r>
      <rPr>
        <sz val="10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</si>
  <si>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(D)[RZ] IQF </t>
    </r>
    <r>
      <rPr>
        <sz val="10"/>
        <rFont val="WenQuanYi Zen Hei"/>
        <family val="2"/>
      </rPr>
      <t xml:space="preserve">수박주스 </t>
    </r>
    <r>
      <rPr>
        <sz val="10"/>
        <rFont val="Arial"/>
        <family val="0"/>
        <charset val="1"/>
      </rPr>
      <t xml:space="preserve">[200G*50BAGS] [200G*50BAGS]1,000 X 760</t>
    </r>
  </si>
  <si>
    <r>
      <rPr>
        <sz val="10"/>
        <rFont val="Arial"/>
        <family val="0"/>
        <charset val="1"/>
      </rPr>
      <t xml:space="preserve">(D)[RZ] IQF </t>
    </r>
    <r>
      <rPr>
        <sz val="10"/>
        <rFont val="WenQuanYi Zen Hei"/>
        <family val="2"/>
      </rPr>
      <t xml:space="preserve">수박주스 </t>
    </r>
    <r>
      <rPr>
        <sz val="10"/>
        <rFont val="Arial"/>
        <family val="0"/>
        <charset val="1"/>
      </rPr>
      <t xml:space="preserve">[200G*50BAGS] [200G*50BAGS]</t>
    </r>
  </si>
  <si>
    <r>
      <rPr>
        <sz val="10"/>
        <rFont val="WenQuanYi Zen Hei"/>
        <family val="2"/>
      </rPr>
      <t xml:space="preserve">미션 면세 구간 제목이 「과세」로 표기됨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유형은 면세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</si>
  <si>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기타판매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라임에이드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월 단가 누락건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759</t>
    </r>
    <r>
      <rPr>
        <sz val="10"/>
        <rFont val="WenQuanYi Zen Hei"/>
        <family val="2"/>
      </rPr>
      <t xml:space="preserve">건</t>
    </r>
  </si>
  <si>
    <t xml:space="preserve">04-07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</si>
  <si>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운반비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미지급금</t>
    </r>
  </si>
  <si>
    <r>
      <rPr>
        <sz val="10"/>
        <rFont val="WenQuanYi Zen Hei"/>
        <family val="2"/>
      </rPr>
      <t xml:space="preserve">물류대행비 계정이 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운반비」 — 다른 달은 「상품」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계정 혼용</t>
    </r>
    <r>
      <rPr>
        <sz val="10"/>
        <rFont val="Arial"/>
        <family val="0"/>
        <charset val="1"/>
      </rPr>
      <t xml:space="preserve">)</t>
    </r>
  </si>
  <si>
    <t xml:space="preserve">04-16</t>
  </si>
  <si>
    <r>
      <rPr>
        <sz val="10"/>
        <rFont val="WenQuanYi Zen Hei"/>
        <family val="2"/>
      </rPr>
      <t xml:space="preserve">베트코코 수입대행 </t>
    </r>
    <r>
      <rPr>
        <sz val="10"/>
        <rFont val="Arial"/>
        <family val="0"/>
        <charset val="1"/>
      </rPr>
      <t xml:space="preserve">USD 3,520 * 1,439.6</t>
    </r>
  </si>
  <si>
    <r>
      <rPr>
        <sz val="10"/>
        <rFont val="WenQuanYi Zen Hei"/>
        <family val="2"/>
      </rPr>
      <t xml:space="preserve">베트코코 수입대행 </t>
    </r>
    <r>
      <rPr>
        <sz val="10"/>
        <rFont val="Arial"/>
        <family val="0"/>
        <charset val="1"/>
      </rPr>
      <t xml:space="preserve">(BL:MJSG25030110)</t>
    </r>
  </si>
  <si>
    <t xml:space="preserve">04-30</t>
  </si>
  <si>
    <r>
      <rPr>
        <sz val="10"/>
        <rFont val="Arial"/>
        <family val="0"/>
        <charset val="1"/>
      </rPr>
      <t xml:space="preserve">[GE]</t>
    </r>
    <r>
      <rPr>
        <sz val="10"/>
        <rFont val="WenQuanYi Zen Hei"/>
        <family val="2"/>
      </rPr>
      <t xml:space="preserve">화이트펄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321</t>
    </r>
    <r>
      <rPr>
        <sz val="10"/>
        <rFont val="WenQuanYi Zen Hei"/>
        <family val="2"/>
      </rPr>
      <t xml:space="preserve">건</t>
    </r>
  </si>
  <si>
    <t xml:space="preserve">05-31</t>
  </si>
  <si>
    <r>
      <rPr>
        <sz val="10"/>
        <rFont val="WenQuanYi Zen Hei"/>
        <family val="2"/>
      </rPr>
      <t xml:space="preserve">기타 수수료 </t>
    </r>
    <r>
      <rPr>
        <sz val="10"/>
        <rFont val="Arial"/>
        <family val="0"/>
        <charset val="1"/>
      </rPr>
      <t xml:space="preserve">1 X 3,750,000</t>
    </r>
  </si>
  <si>
    <t xml:space="preserve">기타 수수료</t>
  </si>
  <si>
    <r>
      <rPr>
        <sz val="10"/>
        <rFont val="Arial"/>
        <family val="0"/>
        <charset val="1"/>
      </rPr>
      <t xml:space="preserve">[GEV]</t>
    </r>
    <r>
      <rPr>
        <sz val="10"/>
        <rFont val="WenQuanYi Zen Hei"/>
        <family val="2"/>
      </rPr>
      <t xml:space="preserve">화이트펄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390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</si>
  <si>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(D)[RZ] IQF </t>
    </r>
    <r>
      <rPr>
        <sz val="10"/>
        <rFont val="WenQuanYi Zen Hei"/>
        <family val="2"/>
      </rPr>
      <t xml:space="preserve">수박주스 </t>
    </r>
    <r>
      <rPr>
        <sz val="10"/>
        <rFont val="Arial"/>
        <family val="0"/>
        <charset val="1"/>
      </rPr>
      <t xml:space="preserve">[200G*50BAGS] [200G*50BAGS]800 X 760</t>
    </r>
  </si>
  <si>
    <t xml:space="preserve">06-04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</si>
  <si>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1,697,028</t>
    </r>
  </si>
  <si>
    <t xml:space="preserve">수입대행 수수료</t>
  </si>
  <si>
    <r>
      <rPr>
        <sz val="10"/>
        <rFont val="WenQuanYi Zen Hei"/>
        <family val="2"/>
      </rPr>
      <t xml:space="preserve">수입원금 </t>
    </r>
    <r>
      <rPr>
        <sz val="10"/>
        <rFont val="Arial"/>
        <family val="0"/>
        <charset val="1"/>
      </rPr>
      <t xml:space="preserve">1 X 13,690,277</t>
    </r>
  </si>
  <si>
    <t xml:space="preserve">수입원금</t>
  </si>
  <si>
    <r>
      <rPr>
        <sz val="10"/>
        <rFont val="WenQuanYi Zen Hei"/>
        <family val="2"/>
      </rPr>
      <t xml:space="preserve">수입원금 </t>
    </r>
    <r>
      <rPr>
        <sz val="10"/>
        <rFont val="Arial"/>
        <family val="0"/>
        <charset val="1"/>
      </rPr>
      <t xml:space="preserve">-1 X 13,690,277</t>
    </r>
  </si>
  <si>
    <r>
      <rPr>
        <sz val="10"/>
        <rFont val="WenQuanYi Zen Hei"/>
        <family val="2"/>
      </rPr>
      <t xml:space="preserve">수입대행 그레잇이스턴 베트남 </t>
    </r>
    <r>
      <rPr>
        <sz val="10"/>
        <rFont val="Arial"/>
        <family val="0"/>
        <charset val="1"/>
      </rPr>
      <t xml:space="preserve">2-2</t>
    </r>
    <r>
      <rPr>
        <sz val="10"/>
        <rFont val="WenQuanYi Zen Hei"/>
        <family val="2"/>
      </rPr>
      <t xml:space="preserve">번  </t>
    </r>
    <r>
      <rPr>
        <sz val="10"/>
        <rFont val="Arial"/>
        <family val="0"/>
        <charset val="1"/>
      </rPr>
      <t xml:space="preserve">$9,641.04*1420</t>
    </r>
  </si>
  <si>
    <t xml:space="preserve">06-30</t>
  </si>
  <si>
    <r>
      <rPr>
        <sz val="10"/>
        <rFont val="Arial"/>
        <family val="0"/>
        <charset val="1"/>
      </rPr>
      <t xml:space="preserve">(D)[RZ] IQF </t>
    </r>
    <r>
      <rPr>
        <sz val="10"/>
        <rFont val="WenQuanYi Zen Hei"/>
        <family val="2"/>
      </rPr>
      <t xml:space="preserve">수박주스 </t>
    </r>
    <r>
      <rPr>
        <sz val="10"/>
        <rFont val="Arial"/>
        <family val="0"/>
        <charset val="1"/>
      </rPr>
      <t xml:space="preserve">[200G*50BAGS] [200G*50BAGS]1,600 X 760</t>
    </r>
  </si>
  <si>
    <r>
      <rPr>
        <sz val="10"/>
        <rFont val="Arial"/>
        <family val="0"/>
        <charset val="1"/>
      </rPr>
      <t xml:space="preserve">[SN]</t>
    </r>
    <r>
      <rPr>
        <sz val="10"/>
        <rFont val="WenQuanYi Zen Hei"/>
        <family val="2"/>
      </rPr>
      <t xml:space="preserve">브라운 슈가 베이스 </t>
    </r>
    <r>
      <rPr>
        <sz val="10"/>
        <rFont val="Arial"/>
        <family val="0"/>
        <charset val="1"/>
      </rPr>
      <t xml:space="preserve">2.5KG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407</t>
    </r>
    <r>
      <rPr>
        <sz val="10"/>
        <rFont val="WenQuanYi Zen Hei"/>
        <family val="2"/>
      </rPr>
      <t xml:space="preserve">건</t>
    </r>
  </si>
  <si>
    <t xml:space="preserve">07-18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</si>
  <si>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376,505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</si>
  <si>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2,402,400</t>
    </r>
  </si>
  <si>
    <t xml:space="preserve">07-31</t>
  </si>
  <si>
    <r>
      <rPr>
        <sz val="10"/>
        <rFont val="Arial"/>
        <family val="0"/>
        <charset val="1"/>
      </rPr>
      <t xml:space="preserve">(D)[RZ] IQF </t>
    </r>
    <r>
      <rPr>
        <sz val="10"/>
        <rFont val="WenQuanYi Zen Hei"/>
        <family val="2"/>
      </rPr>
      <t xml:space="preserve">수박주스 </t>
    </r>
    <r>
      <rPr>
        <sz val="10"/>
        <rFont val="Arial"/>
        <family val="0"/>
        <charset val="1"/>
      </rPr>
      <t xml:space="preserve">[200G*50BAGS] [200G*50BAGS]150 X 760</t>
    </r>
  </si>
  <si>
    <r>
      <rPr>
        <sz val="10"/>
        <rFont val="Arial"/>
        <family val="0"/>
        <charset val="1"/>
      </rPr>
      <t xml:space="preserve">[SN]</t>
    </r>
    <r>
      <rPr>
        <sz val="10"/>
        <rFont val="WenQuanYi Zen Hei"/>
        <family val="2"/>
      </rPr>
      <t xml:space="preserve">브라운 슈가 베이스 </t>
    </r>
    <r>
      <rPr>
        <sz val="10"/>
        <rFont val="Arial"/>
        <family val="0"/>
        <charset val="1"/>
      </rPr>
      <t xml:space="preserve">2.5KG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384</t>
    </r>
    <r>
      <rPr>
        <sz val="10"/>
        <rFont val="WenQuanYi Zen Hei"/>
        <family val="2"/>
      </rPr>
      <t xml:space="preserve">건</t>
    </r>
  </si>
  <si>
    <t xml:space="preserve">08-27</t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</si>
  <si>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11,201,245</t>
    </r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</si>
  <si>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1,355,261</t>
    </r>
  </si>
  <si>
    <r>
      <rPr>
        <sz val="10"/>
        <rFont val="Arial"/>
        <family val="0"/>
        <charset val="1"/>
      </rPr>
      <t xml:space="preserve">[TH]</t>
    </r>
    <r>
      <rPr>
        <sz val="10"/>
        <rFont val="WenQuanYi Zen Hei"/>
        <family val="2"/>
      </rPr>
      <t xml:space="preserve">즉석 타피오카펄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컵</t>
    </r>
    <r>
      <rPr>
        <sz val="10"/>
        <rFont val="Arial"/>
        <family val="0"/>
        <charset val="1"/>
      </rPr>
      <t xml:space="preserve">) 60G(18</t>
    </r>
    <r>
      <rPr>
        <sz val="10"/>
        <rFont val="WenQuanYi Zen Hei"/>
        <family val="2"/>
      </rPr>
      <t xml:space="preserve">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361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</si>
  <si>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</si>
  <si>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[VC]</t>
    </r>
    <r>
      <rPr>
        <sz val="10"/>
        <rFont val="WenQuanYi Zen Hei"/>
        <family val="2"/>
      </rPr>
      <t xml:space="preserve">나타데코코 </t>
    </r>
    <r>
      <rPr>
        <sz val="10"/>
        <rFont val="Arial"/>
        <family val="0"/>
        <charset val="1"/>
      </rPr>
      <t xml:space="preserve">5*5*5mm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364</t>
    </r>
    <r>
      <rPr>
        <sz val="10"/>
        <rFont val="WenQuanYi Zen Hei"/>
        <family val="2"/>
      </rPr>
      <t xml:space="preserve">건</t>
    </r>
  </si>
  <si>
    <t xml:space="preserve">10-13</t>
  </si>
  <si>
    <r>
      <rPr>
        <sz val="10"/>
        <rFont val="WenQuanYi Zen Hei"/>
        <family val="2"/>
      </rPr>
      <t xml:space="preserve">기타 수수료 </t>
    </r>
    <r>
      <rPr>
        <sz val="10"/>
        <rFont val="Arial"/>
        <family val="0"/>
        <charset val="1"/>
      </rPr>
      <t xml:space="preserve">-1 X 3,750,000</t>
    </r>
  </si>
  <si>
    <r>
      <rPr>
        <sz val="10"/>
        <rFont val="WenQuanYi Zen Hei"/>
        <family val="2"/>
      </rPr>
      <t xml:space="preserve">그레잇이스턴 베트남 스카이 수수료</t>
    </r>
    <r>
      <rPr>
        <sz val="10"/>
        <rFont val="Arial"/>
        <family val="0"/>
        <charset val="1"/>
      </rPr>
      <t xml:space="preserve">1 X 273,611.58</t>
    </r>
  </si>
  <si>
    <t xml:space="preserve">그레잇이스턴 베트남 스카이 수수료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</si>
  <si>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982,661</t>
    </r>
  </si>
  <si>
    <r>
      <rPr>
        <sz val="10"/>
        <rFont val="WenQuanYi Zen Hei"/>
        <family val="2"/>
      </rPr>
      <t xml:space="preserve">미착품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미지급금</t>
    </r>
  </si>
  <si>
    <r>
      <rPr>
        <sz val="10"/>
        <rFont val="WenQuanYi Zen Hei"/>
        <family val="2"/>
      </rPr>
      <t xml:space="preserve">수입대행 수수료 계정이 「미착품」 —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다른 수수료는 「상품」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</si>
  <si>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7,173,170</t>
    </r>
  </si>
  <si>
    <r>
      <rPr>
        <sz val="10"/>
        <rFont val="WenQuanYi Zen Hei"/>
        <family val="2"/>
      </rPr>
      <t xml:space="preserve">수입원금 계정이 「미착품」 —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다른 수입원금은 「상품」</t>
    </r>
  </si>
  <si>
    <t xml:space="preserve">10-31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</si>
  <si>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로얄밀크티파우더 </t>
    </r>
    <r>
      <rPr>
        <sz val="10"/>
        <rFont val="Arial"/>
        <family val="0"/>
        <charset val="1"/>
      </rPr>
      <t xml:space="preserve">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338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</si>
  <si>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500G480 X 2,090</t>
    </r>
  </si>
  <si>
    <t xml:space="preserve">11-07</t>
  </si>
  <si>
    <t xml:space="preserve">11-30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</si>
  <si>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초코파우더 </t>
    </r>
    <r>
      <rPr>
        <sz val="10"/>
        <rFont val="Arial"/>
        <family val="0"/>
        <charset val="1"/>
      </rPr>
      <t xml:space="preserve">800G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305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</si>
  <si>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레몬 슬라이스 </t>
    </r>
    <r>
      <rPr>
        <sz val="10"/>
        <rFont val="Arial"/>
        <family val="0"/>
        <charset val="1"/>
      </rPr>
      <t xml:space="preserve">500G400 X 2,090</t>
    </r>
  </si>
  <si>
    <t xml:space="preserve">12-03</t>
  </si>
  <si>
    <r>
      <rPr>
        <sz val="10"/>
        <rFont val="WenQuanYi Zen Hei"/>
        <family val="2"/>
      </rPr>
      <t xml:space="preserve">차량 매매  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나 </t>
    </r>
    <r>
      <rPr>
        <sz val="10"/>
        <rFont val="Arial"/>
        <family val="0"/>
        <charset val="1"/>
      </rPr>
      <t xml:space="preserve">3652</t>
    </r>
  </si>
  <si>
    <r>
      <rPr>
        <sz val="10"/>
        <rFont val="WenQuanYi Zen Hei"/>
        <family val="2"/>
      </rPr>
      <t xml:space="preserve">차량 매매  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나 </t>
    </r>
    <r>
      <rPr>
        <sz val="10"/>
        <rFont val="Arial"/>
        <family val="0"/>
        <charset val="1"/>
      </rPr>
      <t xml:space="preserve">3652 (</t>
    </r>
    <r>
      <rPr>
        <sz val="10"/>
        <rFont val="WenQuanYi Zen Hei"/>
        <family val="2"/>
      </rPr>
      <t xml:space="preserve">중고트럭매매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</si>
  <si>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차량운반구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미지급금</t>
    </r>
  </si>
  <si>
    <t xml:space="preserve">12-09</t>
  </si>
  <si>
    <t xml:space="preserve">12-31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</si>
  <si>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초코파우더 </t>
    </r>
    <r>
      <rPr>
        <sz val="10"/>
        <rFont val="Arial"/>
        <family val="0"/>
        <charset val="1"/>
      </rPr>
      <t xml:space="preserve">800G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</si>
  <si>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[#</t>
    </r>
    <r>
      <rPr>
        <sz val="10"/>
        <rFont val="WenQuanYi Zen Hei"/>
        <family val="2"/>
      </rPr>
      <t xml:space="preserve">두현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오리스타 소스 스무디 에이드 베이스 범용펌프 외 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</si>
  <si>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외상매출금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상품매출</t>
    </r>
  </si>
  <si>
    <r>
      <rPr>
        <sz val="10"/>
        <rFont val="Arial"/>
        <family val="0"/>
        <charset val="1"/>
      </rPr>
      <t xml:space="preserve">[#</t>
    </r>
    <r>
      <rPr>
        <sz val="10"/>
        <rFont val="WenQuanYi Zen Hei"/>
        <family val="2"/>
      </rPr>
      <t xml:space="preserve">일화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초정탄산수 플레인 </t>
    </r>
    <r>
      <rPr>
        <sz val="10"/>
        <rFont val="Arial"/>
        <family val="0"/>
        <charset val="1"/>
      </rPr>
      <t xml:space="preserve">500ml PET_[</t>
    </r>
    <r>
      <rPr>
        <sz val="10"/>
        <rFont val="WenQuanYi Zen Hei"/>
        <family val="2"/>
      </rPr>
      <t xml:space="preserve">단종처리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건</t>
    </r>
  </si>
  <si>
    <t xml:space="preserve">000</t>
  </si>
  <si>
    <r>
      <rPr>
        <sz val="10"/>
        <rFont val="WenQuanYi Zen Hei"/>
        <family val="2"/>
      </rPr>
      <t xml:space="preserve">미션 품명이 「</t>
    </r>
    <r>
      <rPr>
        <sz val="10"/>
        <rFont val="Arial"/>
        <family val="0"/>
        <charset val="1"/>
      </rPr>
      <t xml:space="preserve">000</t>
    </r>
    <r>
      <rPr>
        <sz val="10"/>
        <rFont val="WenQuanYi Zen Hei"/>
        <family val="2"/>
      </rPr>
      <t xml:space="preserve">」으로 입력됨 → 품명 보완 필요</t>
    </r>
  </si>
  <si>
    <r>
      <rPr>
        <sz val="10"/>
        <rFont val="WenQuanYi Zen Hei"/>
        <family val="2"/>
      </rPr>
      <t xml:space="preserve">포천임대료 </t>
    </r>
    <r>
      <rPr>
        <sz val="10"/>
        <rFont val="Arial"/>
        <family val="0"/>
        <charset val="1"/>
      </rPr>
      <t xml:space="preserve">4,125,000</t>
    </r>
  </si>
  <si>
    <t xml:space="preserve">포천임대료</t>
  </si>
  <si>
    <t xml:space="preserve">03-13</t>
  </si>
  <si>
    <t xml:space="preserve">03-25</t>
  </si>
  <si>
    <r>
      <rPr>
        <sz val="10"/>
        <rFont val="WenQuanYi Zen Hei"/>
        <family val="2"/>
      </rPr>
      <t xml:space="preserve">원장에만 있음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수출운송비 — </t>
    </r>
    <r>
      <rPr>
        <sz val="10"/>
        <rFont val="Arial"/>
        <family val="0"/>
        <charset val="1"/>
      </rPr>
      <t xml:space="preserve">03-26 </t>
    </r>
    <r>
      <rPr>
        <sz val="10"/>
        <rFont val="WenQuanYi Zen Hei"/>
        <family val="2"/>
      </rPr>
      <t xml:space="preserve">차변과 상계되어 순액 </t>
    </r>
    <r>
      <rPr>
        <sz val="10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</si>
  <si>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팝핑펄 팝핑보바 리치 </t>
    </r>
    <r>
      <rPr>
        <sz val="10"/>
        <rFont val="Arial"/>
        <family val="0"/>
        <charset val="1"/>
      </rPr>
      <t xml:space="preserve">130g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</si>
  <si>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누티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크리머 연유 </t>
    </r>
    <r>
      <rPr>
        <sz val="10"/>
        <rFont val="Arial"/>
        <family val="0"/>
        <charset val="1"/>
      </rPr>
      <t xml:space="preserve">380G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</si>
  <si>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팝핑펄 팝핑보바 리치 </t>
    </r>
    <r>
      <rPr>
        <sz val="10"/>
        <rFont val="Arial"/>
        <family val="0"/>
        <charset val="1"/>
      </rPr>
      <t xml:space="preserve">907g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</si>
  <si>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[MG]</t>
    </r>
    <r>
      <rPr>
        <sz val="10"/>
        <rFont val="WenQuanYi Zen Hei"/>
        <family val="2"/>
      </rPr>
      <t xml:space="preserve">토핑스 브라운펄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</si>
  <si>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화이트 콜라겐 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</si>
  <si>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모히또민트시럽 </t>
    </r>
    <r>
      <rPr>
        <sz val="10"/>
        <rFont val="Arial"/>
        <family val="0"/>
        <charset val="1"/>
      </rPr>
      <t xml:space="preserve">1L 1</t>
    </r>
    <r>
      <rPr>
        <sz val="10"/>
        <rFont val="WenQuanYi Zen Hei"/>
        <family val="2"/>
      </rPr>
      <t xml:space="preserve">박스 외 </t>
    </r>
    <r>
      <rPr>
        <sz val="10"/>
        <rFont val="Arial"/>
        <family val="0"/>
        <charset val="1"/>
      </rPr>
      <t xml:space="preserve">37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</si>
  <si>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기타판매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</si>
  <si>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기타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기타판매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</si>
  <si>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브라운펄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</si>
  <si>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미지급금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상품매출</t>
    </r>
  </si>
  <si>
    <r>
      <rPr>
        <sz val="10"/>
        <rFont val="WenQuanYi Zen Hei"/>
        <family val="2"/>
      </rPr>
      <t xml:space="preserve">미션 전표 차변계정이 「미지급금」 → 「외상매출금」이어야 함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계정 오류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</si>
  <si>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동양인터내셔널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소스펌프 </t>
    </r>
    <r>
      <rPr>
        <sz val="10"/>
        <rFont val="Arial"/>
        <family val="0"/>
        <charset val="1"/>
      </rPr>
      <t xml:space="preserve">15ml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</si>
  <si>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자몽 슬라이스 </t>
    </r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</si>
  <si>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택배비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냉동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소형</t>
    </r>
    <r>
      <rPr>
        <sz val="10"/>
        <rFont val="Arial"/>
        <family val="0"/>
        <charset val="1"/>
      </rPr>
      <t xml:space="preserve">P1)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</si>
  <si>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25.11</t>
    </r>
    <r>
      <rPr>
        <sz val="10"/>
        <rFont val="WenQuanYi Zen Hei"/>
        <family val="2"/>
      </rPr>
      <t xml:space="preserve">월 미션글로벌 부자재 구매비</t>
    </r>
  </si>
  <si>
    <r>
      <rPr>
        <sz val="10"/>
        <rFont val="WenQuanYi Zen Hei"/>
        <family val="2"/>
      </rPr>
      <t xml:space="preserve">원장에만 있음</t>
    </r>
    <r>
      <rPr>
        <sz val="10"/>
        <rFont val="Arial"/>
        <family val="0"/>
        <charset val="1"/>
      </rPr>
      <t xml:space="preserve">: 25.11</t>
    </r>
    <r>
      <rPr>
        <sz val="10"/>
        <rFont val="WenQuanYi Zen Hei"/>
        <family val="2"/>
      </rPr>
      <t xml:space="preserve">월 부자재 구매비 차감 — 미션 매출에 대응 전표 없음</t>
    </r>
  </si>
  <si>
    <t xml:space="preserve">01-30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</si>
  <si>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809,526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</si>
  <si>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5,513,460</t>
    </r>
  </si>
  <si>
    <r>
      <rPr>
        <sz val="10"/>
        <rFont val="Arial"/>
        <family val="0"/>
        <charset val="1"/>
      </rPr>
      <t xml:space="preserve">[AN]</t>
    </r>
    <r>
      <rPr>
        <sz val="10"/>
        <rFont val="WenQuanYi Zen Hei"/>
        <family val="2"/>
      </rPr>
      <t xml:space="preserve">타피오카 보바</t>
    </r>
    <r>
      <rPr>
        <sz val="10"/>
        <rFont val="Arial"/>
        <family val="0"/>
        <charset val="1"/>
      </rPr>
      <t xml:space="preserve">(2.0)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276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</si>
  <si>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[AN]</t>
    </r>
    <r>
      <rPr>
        <sz val="10"/>
        <rFont val="WenQuanYi Zen Hei"/>
        <family val="2"/>
      </rPr>
      <t xml:space="preserve">타피오카 보바</t>
    </r>
    <r>
      <rPr>
        <sz val="10"/>
        <rFont val="Arial"/>
        <family val="0"/>
        <charset val="1"/>
      </rPr>
      <t xml:space="preserve">(2.5)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224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</si>
  <si>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1,557,295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</si>
  <si>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12,114,918</t>
    </r>
  </si>
  <si>
    <r>
      <rPr>
        <sz val="10"/>
        <rFont val="Arial"/>
        <family val="0"/>
        <charset val="1"/>
      </rPr>
      <t xml:space="preserve">[WF]</t>
    </r>
    <r>
      <rPr>
        <sz val="10"/>
        <rFont val="WenQuanYi Zen Hei"/>
        <family val="2"/>
      </rPr>
      <t xml:space="preserve">포멜로 인 시럽 </t>
    </r>
    <r>
      <rPr>
        <sz val="10"/>
        <rFont val="Arial"/>
        <family val="0"/>
        <charset val="1"/>
      </rPr>
      <t xml:space="preserve">850G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373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</si>
  <si>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상품 매입인데 미션 차변계정이 「미착품」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다른 달 상품 매입은 「상품」</t>
    </r>
    <r>
      <rPr>
        <sz val="10"/>
        <rFont val="Arial"/>
        <family val="0"/>
        <charset val="1"/>
      </rPr>
      <t xml:space="preserve">)</t>
    </r>
  </si>
  <si>
    <t xml:space="preserve">04-15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</si>
  <si>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1,195,601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</si>
  <si>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9,138,413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</si>
  <si>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원재료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우베파우더</t>
    </r>
    <r>
      <rPr>
        <sz val="10"/>
        <rFont val="Arial"/>
        <family val="0"/>
        <charset val="1"/>
      </rPr>
      <t xml:space="preserve">(TH/73%)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218</t>
    </r>
    <r>
      <rPr>
        <sz val="10"/>
        <rFont val="WenQuanYi Zen Hei"/>
        <family val="2"/>
      </rPr>
      <t xml:space="preserve">건</t>
    </r>
  </si>
  <si>
    <t xml:space="preserve">05-29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</si>
  <si>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1,275,845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</si>
  <si>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9,313,920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</si>
  <si>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바닐라빈파우더 </t>
    </r>
    <r>
      <rPr>
        <sz val="10"/>
        <rFont val="Arial"/>
        <family val="0"/>
        <charset val="1"/>
      </rPr>
      <t xml:space="preserve">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248</t>
    </r>
    <r>
      <rPr>
        <sz val="10"/>
        <rFont val="WenQuanYi Zen Hei"/>
        <family val="2"/>
      </rPr>
      <t xml:space="preserve">건</t>
    </r>
  </si>
  <si>
    <t xml:space="preserve">06-23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</si>
  <si>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3,200,056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</si>
  <si>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23,713,913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</si>
  <si>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]NEW </t>
    </r>
    <r>
      <rPr>
        <sz val="10"/>
        <rFont val="WenQuanYi Zen Hei"/>
        <family val="2"/>
      </rPr>
      <t xml:space="preserve">초코파우더 </t>
    </r>
    <r>
      <rPr>
        <sz val="10"/>
        <rFont val="Arial"/>
        <family val="0"/>
        <charset val="1"/>
      </rPr>
      <t xml:space="preserve">800G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280</t>
    </r>
    <r>
      <rPr>
        <sz val="10"/>
        <rFont val="WenQuanYi Zen Hei"/>
        <family val="2"/>
      </rPr>
      <t xml:space="preserve">건</t>
    </r>
  </si>
  <si>
    <t xml:space="preserve">07-29</t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</si>
  <si>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2,096,258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</si>
  <si>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15,957,881</t>
    </r>
  </si>
  <si>
    <r>
      <rPr>
        <sz val="10"/>
        <rFont val="Arial"/>
        <family val="0"/>
        <charset val="1"/>
      </rPr>
      <t xml:space="preserve">[TH]</t>
    </r>
    <r>
      <rPr>
        <sz val="10"/>
        <rFont val="WenQuanYi Zen Hei"/>
        <family val="2"/>
      </rPr>
      <t xml:space="preserve">즉석 타피오카펄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컵</t>
    </r>
    <r>
      <rPr>
        <sz val="10"/>
        <rFont val="Arial"/>
        <family val="0"/>
        <charset val="1"/>
      </rPr>
      <t xml:space="preserve">) 60G(18</t>
    </r>
    <r>
      <rPr>
        <sz val="10"/>
        <rFont val="WenQuanYi Zen Hei"/>
        <family val="2"/>
      </rPr>
      <t xml:space="preserve">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291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</si>
  <si>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수입대행 수수료 </t>
    </r>
    <r>
      <rPr>
        <sz val="10"/>
        <rFont val="Arial"/>
        <family val="0"/>
        <charset val="1"/>
      </rPr>
      <t xml:space="preserve">1 X 4,439,672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</si>
  <si>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블랙타피오카즉석컵펄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컵</t>
    </r>
    <r>
      <rPr>
        <sz val="10"/>
        <rFont val="Arial"/>
        <family val="0"/>
        <charset val="1"/>
      </rPr>
      <t xml:space="preserve">) 60G(12</t>
    </r>
    <r>
      <rPr>
        <sz val="10"/>
        <rFont val="WenQuanYi Zen Hei"/>
        <family val="2"/>
      </rPr>
      <t xml:space="preserve">입</t>
    </r>
    <r>
      <rPr>
        <sz val="10"/>
        <rFont val="Arial"/>
        <family val="0"/>
        <charset val="1"/>
      </rPr>
      <t xml:space="preserve">) X 1PK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282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</si>
  <si>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36,847,267</t>
    </r>
  </si>
  <si>
    <r>
      <rPr>
        <sz val="10"/>
        <rFont val="WenQuanYi Zen Hei"/>
        <family val="2"/>
      </rPr>
      <t xml:space="preserve">수입원금</t>
    </r>
    <r>
      <rPr>
        <sz val="10"/>
        <rFont val="Arial"/>
        <family val="0"/>
        <charset val="1"/>
      </rPr>
      <t xml:space="preserve">1 X 19,459,211</t>
    </r>
  </si>
  <si>
    <r>
      <rPr>
        <sz val="10"/>
        <rFont val="WenQuanYi Zen Hei"/>
        <family val="2"/>
      </rPr>
      <t xml:space="preserve">미션에만 있음</t>
    </r>
    <r>
      <rPr>
        <sz val="10"/>
        <rFont val="Arial"/>
        <family val="0"/>
        <charset val="1"/>
      </rPr>
      <t xml:space="preserve">: 9</t>
    </r>
    <r>
      <rPr>
        <sz val="10"/>
        <rFont val="WenQuanYi Zen Hei"/>
        <family val="2"/>
      </rPr>
      <t xml:space="preserve">월 수입대행 수수료 — 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태향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미반영</t>
    </r>
  </si>
  <si>
    <r>
      <rPr>
        <sz val="10"/>
        <rFont val="Arial"/>
        <family val="0"/>
        <charset val="1"/>
      </rPr>
      <t xml:space="preserve">26.01 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브라운펄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</si>
  <si>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브라운펄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</si>
  <si>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25.12 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화이트 콜라겐 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[1KG*12EA]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14,103,365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</si>
  <si>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화이트 콜라겐 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[1KG*12EA] </t>
    </r>
    <r>
      <rPr>
        <sz val="10"/>
        <rFont val="WenQuanYi Zen Hei"/>
        <family val="2"/>
      </rPr>
      <t xml:space="preserve">외</t>
    </r>
  </si>
  <si>
    <r>
      <rPr>
        <sz val="10"/>
        <rFont val="WenQuanYi Zen Hei"/>
        <family val="2"/>
      </rPr>
      <t xml:space="preserve">원장 적요상 「</t>
    </r>
    <r>
      <rPr>
        <sz val="10"/>
        <rFont val="Arial"/>
        <family val="0"/>
        <charset val="1"/>
      </rPr>
      <t xml:space="preserve">25.12</t>
    </r>
    <r>
      <rPr>
        <sz val="10"/>
        <rFont val="WenQuanYi Zen Hei"/>
        <family val="2"/>
      </rPr>
      <t xml:space="preserve">」 거래 → </t>
    </r>
    <r>
      <rPr>
        <sz val="10"/>
        <rFont val="Arial"/>
        <family val="0"/>
        <charset val="1"/>
      </rPr>
      <t xml:space="preserve">2026.1</t>
    </r>
    <r>
      <rPr>
        <sz val="10"/>
        <rFont val="WenQuanYi Zen Hei"/>
        <family val="2"/>
      </rPr>
      <t xml:space="preserve">월로 반영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귀속월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</si>
  <si>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25.12 [RZ] IQF </t>
    </r>
    <r>
      <rPr>
        <sz val="10"/>
        <rFont val="WenQuanYi Zen Hei"/>
        <family val="2"/>
      </rPr>
      <t xml:space="preserve">자몽 슬라이스 </t>
    </r>
    <r>
      <rPr>
        <sz val="10"/>
        <rFont val="Arial"/>
        <family val="0"/>
        <charset val="1"/>
      </rPr>
      <t xml:space="preserve">500G [500G*20EA]</t>
    </r>
  </si>
  <si>
    <r>
      <rPr>
        <sz val="10"/>
        <rFont val="Arial"/>
        <family val="0"/>
        <charset val="1"/>
      </rPr>
      <t xml:space="preserve">[RZ] IQF </t>
    </r>
    <r>
      <rPr>
        <sz val="10"/>
        <rFont val="WenQuanYi Zen Hei"/>
        <family val="2"/>
      </rPr>
      <t xml:space="preserve">자몽 슬라이스 </t>
    </r>
    <r>
      <rPr>
        <sz val="10"/>
        <rFont val="Arial"/>
        <family val="0"/>
        <charset val="1"/>
      </rPr>
      <t xml:space="preserve">500G [500G*20EA]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</si>
  <si>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:[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팝핑펄 팝핑보바 딸기 </t>
    </r>
    <r>
      <rPr>
        <sz val="10"/>
        <rFont val="Arial"/>
        <family val="0"/>
        <charset val="1"/>
      </rPr>
      <t xml:space="preserve">907g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9,523,137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</si>
  <si>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:[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팝핑펄 팝핑보바 딸기 </t>
    </r>
    <r>
      <rPr>
        <sz val="10"/>
        <rFont val="Arial"/>
        <family val="0"/>
        <charset val="1"/>
      </rPr>
      <t xml:space="preserve">907g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25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</si>
  <si>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적요상 「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월」 거래 →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월로 반영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귀속월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</si>
  <si>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쌀모찌 파우더 </t>
    </r>
    <r>
      <rPr>
        <sz val="10"/>
        <rFont val="Arial"/>
        <family val="0"/>
        <charset val="1"/>
      </rPr>
      <t xml:space="preserve">800G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건</t>
    </r>
  </si>
  <si>
    <t xml:space="preserve">04-14</t>
  </si>
  <si>
    <r>
      <rPr>
        <sz val="10"/>
        <rFont val="WenQuanYi Zen Hei"/>
        <family val="2"/>
      </rPr>
      <t xml:space="preserve">우베 파우더</t>
    </r>
    <r>
      <rPr>
        <sz val="10"/>
        <rFont val="Arial"/>
        <family val="0"/>
        <charset val="1"/>
      </rPr>
      <t xml:space="preserve">MG[1KG*10EA] 57,750,000</t>
    </r>
  </si>
  <si>
    <r>
      <rPr>
        <sz val="10"/>
        <rFont val="WenQuanYi Zen Hei"/>
        <family val="2"/>
      </rPr>
      <t xml:space="preserve">우베 파우더</t>
    </r>
    <r>
      <rPr>
        <sz val="10"/>
        <rFont val="Arial"/>
        <family val="0"/>
        <charset val="1"/>
      </rPr>
      <t xml:space="preserve">MG[1KG*10EA]</t>
    </r>
  </si>
  <si>
    <r>
      <rPr>
        <sz val="10"/>
        <rFont val="WenQuanYi Zen Hei"/>
        <family val="2"/>
      </rPr>
      <t xml:space="preserve">우베 파우더 매출 → </t>
    </r>
    <r>
      <rPr>
        <sz val="10"/>
        <rFont val="Arial"/>
        <family val="0"/>
        <charset val="1"/>
      </rPr>
      <t xml:space="preserve">06-29 </t>
    </r>
    <r>
      <rPr>
        <sz val="10"/>
        <rFont val="WenQuanYi Zen Hei"/>
        <family val="2"/>
      </rPr>
      <t xml:space="preserve">전액 취소</t>
    </r>
    <r>
      <rPr>
        <sz val="10"/>
        <rFont val="Arial"/>
        <family val="0"/>
        <charset val="1"/>
      </rPr>
      <t xml:space="preserve">. 3/12·4/16 </t>
    </r>
    <r>
      <rPr>
        <sz val="10"/>
        <rFont val="WenQuanYi Zen Hei"/>
        <family val="2"/>
      </rPr>
      <t xml:space="preserve">원장 차변 </t>
    </r>
    <r>
      <rPr>
        <sz val="10"/>
        <rFont val="Arial"/>
        <family val="0"/>
        <charset val="1"/>
      </rPr>
      <t xml:space="preserve">57,750,000 </t>
    </r>
    <r>
      <rPr>
        <sz val="10"/>
        <rFont val="WenQuanYi Zen Hei"/>
        <family val="2"/>
      </rPr>
      <t xml:space="preserve">지급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건과 함께 확인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결제내역 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</si>
  <si>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[FENOR]</t>
    </r>
    <r>
      <rPr>
        <sz val="10"/>
        <rFont val="WenQuanYi Zen Hei"/>
        <family val="2"/>
      </rPr>
      <t xml:space="preserve">우베 파우더 </t>
    </r>
    <r>
      <rPr>
        <sz val="10"/>
        <rFont val="Arial"/>
        <family val="0"/>
        <charset val="1"/>
      </rPr>
      <t xml:space="preserve">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</si>
  <si>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브라운펄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곤약</t>
    </r>
    <r>
      <rPr>
        <sz val="10"/>
        <rFont val="Arial"/>
        <family val="0"/>
        <charset val="1"/>
      </rPr>
      <t xml:space="preserve">) 1KG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건</t>
    </r>
  </si>
  <si>
    <t xml:space="preserve">06-29</t>
  </si>
  <si>
    <r>
      <rPr>
        <sz val="10"/>
        <rFont val="Arial"/>
        <family val="0"/>
        <charset val="1"/>
      </rPr>
      <t xml:space="preserve">04-14 </t>
    </r>
    <r>
      <rPr>
        <sz val="10"/>
        <rFont val="WenQuanYi Zen Hei"/>
        <family val="2"/>
      </rPr>
      <t xml:space="preserve">우베 파우더 매출 취소분</t>
    </r>
  </si>
  <si>
    <r>
      <rPr>
        <sz val="10"/>
        <rFont val="Arial"/>
        <family val="0"/>
        <charset val="1"/>
      </rPr>
      <t xml:space="preserve">[DEZHOU]</t>
    </r>
    <r>
      <rPr>
        <sz val="10"/>
        <rFont val="WenQuanYi Zen Hei"/>
        <family val="2"/>
      </rPr>
      <t xml:space="preserve">에리스리톨 </t>
    </r>
    <r>
      <rPr>
        <sz val="10"/>
        <rFont val="Arial"/>
        <family val="0"/>
        <charset val="1"/>
      </rPr>
      <t xml:space="preserve">25KG(60-80Mesh)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</si>
  <si>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토핑스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팝핑펄 팝핑보바 리치 </t>
    </r>
    <r>
      <rPr>
        <sz val="10"/>
        <rFont val="Arial"/>
        <family val="0"/>
        <charset val="1"/>
      </rPr>
      <t xml:space="preserve">907g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</si>
  <si>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네이쳐티</t>
    </r>
    <r>
      <rPr>
        <sz val="10"/>
        <rFont val="Arial"/>
        <family val="0"/>
        <charset val="1"/>
      </rPr>
      <t xml:space="preserve">]</t>
    </r>
    <r>
      <rPr>
        <sz val="10"/>
        <rFont val="WenQuanYi Zen Hei"/>
        <family val="2"/>
      </rPr>
      <t xml:space="preserve">딸기타피오카즉석컵펄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컵</t>
    </r>
    <r>
      <rPr>
        <sz val="10"/>
        <rFont val="Arial"/>
        <family val="0"/>
        <charset val="1"/>
      </rPr>
      <t xml:space="preserve">) 60G(12</t>
    </r>
    <r>
      <rPr>
        <sz val="10"/>
        <rFont val="WenQuanYi Zen Hei"/>
        <family val="2"/>
      </rPr>
      <t xml:space="preserve">입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건</t>
    </r>
  </si>
  <si>
    <t xml:space="preserve">적요</t>
  </si>
  <si>
    <t xml:space="preserve">차변</t>
  </si>
  <si>
    <t xml:space="preserve">대변</t>
  </si>
  <si>
    <t xml:space="preserve">01-20</t>
  </si>
  <si>
    <t xml:space="preserve">（주）미션글로벌</t>
  </si>
  <si>
    <t xml:space="preserve">02-05</t>
  </si>
  <si>
    <t xml:space="preserve">03-04</t>
  </si>
  <si>
    <t xml:space="preserve">03-24</t>
  </si>
  <si>
    <t xml:space="preserve">04-03</t>
  </si>
  <si>
    <t xml:space="preserve">04-25</t>
  </si>
  <si>
    <t xml:space="preserve">05-30</t>
  </si>
  <si>
    <t xml:space="preserve">06-05</t>
  </si>
  <si>
    <t xml:space="preserve">07-03</t>
  </si>
  <si>
    <t xml:space="preserve">07-21</t>
  </si>
  <si>
    <t xml:space="preserve">08-05</t>
  </si>
  <si>
    <t xml:space="preserve">08-18</t>
  </si>
  <si>
    <t xml:space="preserve">08-25</t>
  </si>
  <si>
    <t xml:space="preserve">09-02</t>
  </si>
  <si>
    <t xml:space="preserve">09-04</t>
  </si>
  <si>
    <t xml:space="preserve">09-22</t>
  </si>
  <si>
    <t xml:space="preserve">09-29</t>
  </si>
  <si>
    <t xml:space="preserve">10-01</t>
  </si>
  <si>
    <t xml:space="preserve">10-29</t>
  </si>
  <si>
    <r>
      <rPr>
        <sz val="10"/>
        <rFont val="WenQuanYi Zen Hei"/>
        <family val="2"/>
      </rPr>
      <t xml:space="preserve">（주）미션글로벌 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월끝</t>
    </r>
  </si>
  <si>
    <t xml:space="preserve">11-05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</si>
  <si>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월 끝</t>
    </r>
  </si>
  <si>
    <t xml:space="preserve">12-15</t>
  </si>
  <si>
    <t xml:space="preserve">01-02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</si>
  <si>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_2025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</t>
    </r>
  </si>
  <si>
    <t xml:space="preserve">01-23</t>
  </si>
  <si>
    <r>
      <rPr>
        <sz val="10"/>
        <rFont val="WenQuanYi Zen Hei"/>
        <family val="2"/>
      </rPr>
      <t xml:space="preserve">차량 매매대금   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나 </t>
    </r>
    <r>
      <rPr>
        <sz val="10"/>
        <rFont val="Arial"/>
        <family val="0"/>
        <charset val="1"/>
      </rPr>
      <t xml:space="preserve">3652   12</t>
    </r>
    <r>
      <rPr>
        <sz val="10"/>
        <rFont val="WenQuanYi Zen Hei"/>
        <family val="2"/>
      </rPr>
      <t xml:space="preserve">월끝</t>
    </r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</si>
  <si>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_1</t>
    </r>
    <r>
      <rPr>
        <sz val="10"/>
        <rFont val="WenQuanYi Zen Hei"/>
        <family val="2"/>
      </rPr>
      <t xml:space="preserve">월</t>
    </r>
  </si>
  <si>
    <t xml:space="preserve">02-26</t>
  </si>
  <si>
    <t xml:space="preserve">03-03</t>
  </si>
  <si>
    <t xml:space="preserve">03-06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</si>
  <si>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_2</t>
    </r>
    <r>
      <rPr>
        <sz val="10"/>
        <rFont val="WenQuanYi Zen Hei"/>
        <family val="2"/>
      </rPr>
      <t xml:space="preserve">월</t>
    </r>
  </si>
  <si>
    <t xml:space="preserve">03-12</t>
  </si>
  <si>
    <t xml:space="preserve">미션글로벌 지급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</si>
  <si>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_4</t>
    </r>
    <r>
      <rPr>
        <sz val="10"/>
        <rFont val="WenQuanYi Zen Hei"/>
        <family val="2"/>
      </rPr>
      <t xml:space="preserve">월</t>
    </r>
  </si>
  <si>
    <t xml:space="preserve">05-22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</si>
  <si>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_3</t>
    </r>
    <r>
      <rPr>
        <sz val="10"/>
        <rFont val="WenQuanYi Zen Hei"/>
        <family val="2"/>
      </rPr>
      <t xml:space="preserve">월</t>
    </r>
  </si>
  <si>
    <t xml:space="preserve">05-26</t>
  </si>
  <si>
    <t xml:space="preserve">05-27</t>
  </si>
  <si>
    <t xml:space="preserve">06-19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</si>
  <si>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미션글로벌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월</t>
    </r>
  </si>
  <si>
    <t xml:space="preserve">06-25</t>
  </si>
  <si>
    <r>
      <rPr>
        <sz val="10"/>
        <rFont val="WenQuanYi Zen Hei"/>
        <family val="2"/>
      </rPr>
      <t xml:space="preserve">（주）미션글로벌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월</t>
    </r>
  </si>
  <si>
    <t xml:space="preserve">06-26</t>
  </si>
  <si>
    <t xml:space="preserve">07-10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</si>
  <si>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_6</t>
    </r>
    <r>
      <rPr>
        <sz val="10"/>
        <rFont val="WenQuanYi Zen Hei"/>
        <family val="2"/>
      </rPr>
      <t xml:space="preserve">월</t>
    </r>
  </si>
  <si>
    <t xml:space="preserve">07-15</t>
  </si>
  <si>
    <t xml:space="preserve">07-20</t>
  </si>
  <si>
    <t xml:space="preserve">07-22</t>
  </si>
  <si>
    <t xml:space="preserve">08-10</t>
  </si>
  <si>
    <t xml:space="preserve">08-11</t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</si>
  <si>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_7</t>
    </r>
    <r>
      <rPr>
        <sz val="10"/>
        <rFont val="WenQuanYi Zen Hei"/>
        <family val="2"/>
      </rPr>
      <t xml:space="preserve">월</t>
    </r>
  </si>
  <si>
    <t xml:space="preserve">08-24</t>
  </si>
  <si>
    <t xml:space="preserve">09-01</t>
  </si>
  <si>
    <t xml:space="preserve">09-21</t>
  </si>
  <si>
    <r>
      <rPr>
        <sz val="10"/>
        <rFont val="WenQuanYi Zen Hei"/>
        <family val="2"/>
      </rPr>
      <t xml:space="preserve">미션글로벌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．</t>
    </r>
    <r>
      <rPr>
        <sz val="10"/>
        <rFont val="Arial"/>
        <family val="0"/>
        <charset val="1"/>
      </rPr>
      <t xml:space="preserve">08</t>
    </r>
    <r>
      <rPr>
        <sz val="10"/>
        <rFont val="WenQuanYi Zen Hei"/>
        <family val="2"/>
      </rPr>
      <t xml:space="preserve">월</t>
    </r>
  </si>
  <si>
    <r>
      <rPr>
        <sz val="10"/>
        <rFont val="WenQuanYi Zen Hei"/>
        <family val="2"/>
      </rPr>
      <t xml:space="preserve">（주）미션글로벌</t>
    </r>
    <r>
      <rPr>
        <sz val="10"/>
        <rFont val="Arial"/>
        <family val="0"/>
        <charset val="1"/>
      </rPr>
      <t xml:space="preserve">_26.08</t>
    </r>
    <r>
      <rPr>
        <sz val="10"/>
        <rFont val="WenQuanYi Zen Hei"/>
        <family val="2"/>
      </rPr>
      <t xml:space="preserve">월</t>
    </r>
  </si>
  <si>
    <t xml:space="preserve">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</si>
</sst>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WenQuanYi Zen Hei"/>
      <family val="2"/>
    </font>
    <font>
      <b val="true"/>
      <sz val="14"/>
      <color rgb="FF1F3A5F"/>
      <name val="Arial"/>
      <family val="0"/>
      <charset val="1"/>
    </font>
    <font>
      <i val="true"/>
      <sz val="10"/>
      <color rgb="FF5B6475"/>
      <name val="WenQuanYi Zen Hei"/>
      <family val="2"/>
    </font>
    <font>
      <i val="true"/>
      <sz val="10"/>
      <color rgb="FF5B6475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1F3A5F"/>
      <name val="WenQuanYi Zen Hei"/>
      <family val="2"/>
    </font>
    <font>
      <b val="true"/>
      <sz val="10"/>
      <color rgb="FF1F3A5F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DF4"/>
        <bgColor rgb="FFFDE2E1"/>
      </patternFill>
    </fill>
    <fill>
      <patternFill patternType="solid">
        <fgColor rgb="FFFDE2E1"/>
        <bgColor rgb="FFFFF4CC"/>
      </patternFill>
    </fill>
    <fill>
      <patternFill patternType="solid">
        <fgColor rgb="FFFFF4CC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DE2E1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8EDF4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B647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6</v>
      </c>
      <c r="I4" s="3" t="s">
        <v>9</v>
      </c>
      <c r="J4" s="3" t="s">
        <v>10</v>
      </c>
    </row>
    <row r="5" customFormat="false" ht="15" hidden="false" customHeight="false" outlineLevel="0" collapsed="false">
      <c r="A5" s="4" t="n">
        <v>2025</v>
      </c>
      <c r="B5" s="4" t="n">
        <v>1</v>
      </c>
      <c r="C5" s="5" t="n">
        <f aca="false">SUMIFS(대사내역!$F$2:$F$113,대사내역!$A$2:$A$113,$A5,대사내역!$B$2:$B$113,$B5,대사내역!$C$2:$C$113,"매입")</f>
        <v>190900129</v>
      </c>
      <c r="D5" s="5" t="n">
        <f aca="false">SUMIFS(대사내역!$K$2:$K$113,대사내역!$A$2:$A$113,$A5,대사내역!$B$2:$B$113,$B5,대사내역!$C$2:$C$113,"매입")</f>
        <v>190900129</v>
      </c>
      <c r="E5" s="5" t="n">
        <f aca="false">C5-D5</f>
        <v>0</v>
      </c>
      <c r="F5" s="5" t="n">
        <f aca="false">SUMIFS(대사내역!$F$2:$F$113,대사내역!$A$2:$A$113,$A5,대사내역!$B$2:$B$113,$B5,대사내역!$C$2:$C$113,"매출")</f>
        <v>11193209</v>
      </c>
      <c r="G5" s="5" t="n">
        <f aca="false">SUMIFS(대사내역!$K$2:$K$113,대사내역!$A$2:$A$113,$A5,대사내역!$B$2:$B$113,$B5,대사내역!$C$2:$C$113,"매출")</f>
        <v>11193209</v>
      </c>
      <c r="H5" s="5" t="n">
        <f aca="false">F5-G5</f>
        <v>0</v>
      </c>
      <c r="I5" s="4" t="n">
        <f aca="false">COUNTIFS(대사내역!$A$2:$A$113,$A5,대사내역!$B$2:$B$113,$B5,대사내역!$M$2:$M$113,"&lt;&gt;일치")</f>
        <v>0</v>
      </c>
      <c r="J5" s="4" t="str">
        <f aca="false">IF(AND(E5=0,H5=0,I5=0),"일치","차이")</f>
        <v>일치</v>
      </c>
    </row>
    <row r="6" customFormat="false" ht="15" hidden="false" customHeight="false" outlineLevel="0" collapsed="false">
      <c r="A6" s="4" t="n">
        <v>2025</v>
      </c>
      <c r="B6" s="4" t="n">
        <v>2</v>
      </c>
      <c r="C6" s="5" t="n">
        <f aca="false">SUMIFS(대사내역!$F$2:$F$113,대사내역!$A$2:$A$113,$A6,대사내역!$B$2:$B$113,$B6,대사내역!$C$2:$C$113,"매입")</f>
        <v>101126356</v>
      </c>
      <c r="D6" s="5" t="n">
        <f aca="false">SUMIFS(대사내역!$K$2:$K$113,대사내역!$A$2:$A$113,$A6,대사내역!$B$2:$B$113,$B6,대사내역!$C$2:$C$113,"매입")</f>
        <v>101126356</v>
      </c>
      <c r="E6" s="5" t="n">
        <f aca="false">C6-D6</f>
        <v>0</v>
      </c>
      <c r="F6" s="5" t="n">
        <f aca="false">SUMIFS(대사내역!$F$2:$F$113,대사내역!$A$2:$A$113,$A6,대사내역!$B$2:$B$113,$B6,대사내역!$C$2:$C$113,"매출")</f>
        <v>35266495</v>
      </c>
      <c r="G6" s="5" t="n">
        <f aca="false">SUMIFS(대사내역!$K$2:$K$113,대사내역!$A$2:$A$113,$A6,대사내역!$B$2:$B$113,$B6,대사내역!$C$2:$C$113,"매출")</f>
        <v>35266495</v>
      </c>
      <c r="H6" s="5" t="n">
        <f aca="false">F6-G6</f>
        <v>0</v>
      </c>
      <c r="I6" s="4" t="n">
        <f aca="false">COUNTIFS(대사내역!$A$2:$A$113,$A6,대사내역!$B$2:$B$113,$B6,대사내역!$M$2:$M$113,"&lt;&gt;일치")</f>
        <v>0</v>
      </c>
      <c r="J6" s="4" t="str">
        <f aca="false">IF(AND(E6=0,H6=0,I6=0),"일치","차이")</f>
        <v>일치</v>
      </c>
    </row>
    <row r="7" customFormat="false" ht="15" hidden="false" customHeight="false" outlineLevel="0" collapsed="false">
      <c r="A7" s="4" t="n">
        <v>2025</v>
      </c>
      <c r="B7" s="4" t="n">
        <v>3</v>
      </c>
      <c r="C7" s="5" t="n">
        <f aca="false">SUMIFS(대사내역!$F$2:$F$113,대사내역!$A$2:$A$113,$A7,대사내역!$B$2:$B$113,$B7,대사내역!$C$2:$C$113,"매입")</f>
        <v>85233747</v>
      </c>
      <c r="D7" s="5" t="n">
        <f aca="false">SUMIFS(대사내역!$K$2:$K$113,대사내역!$A$2:$A$113,$A7,대사내역!$B$2:$B$113,$B7,대사내역!$C$2:$C$113,"매입")</f>
        <v>84383297</v>
      </c>
      <c r="E7" s="5" t="n">
        <f aca="false">C7-D7</f>
        <v>850450</v>
      </c>
      <c r="F7" s="5" t="n">
        <f aca="false">SUMIFS(대사내역!$F$2:$F$113,대사내역!$A$2:$A$113,$A7,대사내역!$B$2:$B$113,$B7,대사내역!$C$2:$C$113,"매출")</f>
        <v>12562751</v>
      </c>
      <c r="G7" s="5" t="n">
        <f aca="false">SUMIFS(대사내역!$K$2:$K$113,대사내역!$A$2:$A$113,$A7,대사내역!$B$2:$B$113,$B7,대사내역!$C$2:$C$113,"매출")</f>
        <v>11712301</v>
      </c>
      <c r="H7" s="5" t="n">
        <f aca="false">F7-G7</f>
        <v>850450</v>
      </c>
      <c r="I7" s="4" t="n">
        <f aca="false">COUNTIFS(대사내역!$A$2:$A$113,$A7,대사내역!$B$2:$B$113,$B7,대사내역!$M$2:$M$113,"&lt;&gt;일치")</f>
        <v>2</v>
      </c>
      <c r="J7" s="4" t="str">
        <f aca="false">IF(AND(E7=0,H7=0,I7=0),"일치","차이")</f>
        <v>차이</v>
      </c>
    </row>
    <row r="8" customFormat="false" ht="15" hidden="false" customHeight="false" outlineLevel="0" collapsed="false">
      <c r="A8" s="4" t="n">
        <v>2025</v>
      </c>
      <c r="B8" s="4" t="n">
        <v>4</v>
      </c>
      <c r="C8" s="5" t="n">
        <f aca="false">SUMIFS(대사내역!$F$2:$F$113,대사내역!$A$2:$A$113,$A8,대사내역!$B$2:$B$113,$B8,대사내역!$C$2:$C$113,"매입")</f>
        <v>191093851</v>
      </c>
      <c r="D8" s="5" t="n">
        <f aca="false">SUMIFS(대사내역!$K$2:$K$113,대사내역!$A$2:$A$113,$A8,대사내역!$B$2:$B$113,$B8,대사내역!$C$2:$C$113,"매입")</f>
        <v>191093851</v>
      </c>
      <c r="E8" s="5" t="n">
        <f aca="false">C8-D8</f>
        <v>0</v>
      </c>
      <c r="F8" s="5" t="n">
        <f aca="false">SUMIFS(대사내역!$F$2:$F$113,대사내역!$A$2:$A$113,$A8,대사내역!$B$2:$B$113,$B8,대사내역!$C$2:$C$113,"매출")</f>
        <v>15255923</v>
      </c>
      <c r="G8" s="5" t="n">
        <f aca="false">SUMIFS(대사내역!$K$2:$K$113,대사내역!$A$2:$A$113,$A8,대사내역!$B$2:$B$113,$B8,대사내역!$C$2:$C$113,"매출")</f>
        <v>15255923</v>
      </c>
      <c r="H8" s="5" t="n">
        <f aca="false">F8-G8</f>
        <v>0</v>
      </c>
      <c r="I8" s="4" t="n">
        <f aca="false">COUNTIFS(대사내역!$A$2:$A$113,$A8,대사내역!$B$2:$B$113,$B8,대사내역!$M$2:$M$113,"&lt;&gt;일치")</f>
        <v>0</v>
      </c>
      <c r="J8" s="4" t="str">
        <f aca="false">IF(AND(E8=0,H8=0,I8=0),"일치","차이")</f>
        <v>일치</v>
      </c>
    </row>
    <row r="9" customFormat="false" ht="15" hidden="false" customHeight="false" outlineLevel="0" collapsed="false">
      <c r="A9" s="4" t="n">
        <v>2025</v>
      </c>
      <c r="B9" s="4" t="n">
        <v>5</v>
      </c>
      <c r="C9" s="5" t="n">
        <f aca="false">SUMIFS(대사내역!$F$2:$F$113,대사내역!$A$2:$A$113,$A9,대사내역!$B$2:$B$113,$B9,대사내역!$C$2:$C$113,"매입")</f>
        <v>182848696</v>
      </c>
      <c r="D9" s="5" t="n">
        <f aca="false">SUMIFS(대사내역!$K$2:$K$113,대사내역!$A$2:$A$113,$A9,대사내역!$B$2:$B$113,$B9,대사내역!$C$2:$C$113,"매입")</f>
        <v>182848696</v>
      </c>
      <c r="E9" s="5" t="n">
        <f aca="false">C9-D9</f>
        <v>0</v>
      </c>
      <c r="F9" s="5" t="n">
        <f aca="false">SUMIFS(대사내역!$F$2:$F$113,대사내역!$A$2:$A$113,$A9,대사내역!$B$2:$B$113,$B9,대사내역!$C$2:$C$113,"매출")</f>
        <v>60394103</v>
      </c>
      <c r="G9" s="5" t="n">
        <f aca="false">SUMIFS(대사내역!$K$2:$K$113,대사내역!$A$2:$A$113,$A9,대사내역!$B$2:$B$113,$B9,대사내역!$C$2:$C$113,"매출")</f>
        <v>60394103</v>
      </c>
      <c r="H9" s="5" t="n">
        <f aca="false">F9-G9</f>
        <v>0</v>
      </c>
      <c r="I9" s="4" t="n">
        <f aca="false">COUNTIFS(대사내역!$A$2:$A$113,$A9,대사내역!$B$2:$B$113,$B9,대사내역!$M$2:$M$113,"&lt;&gt;일치")</f>
        <v>0</v>
      </c>
      <c r="J9" s="4" t="str">
        <f aca="false">IF(AND(E9=0,H9=0,I9=0),"일치","차이")</f>
        <v>일치</v>
      </c>
    </row>
    <row r="10" customFormat="false" ht="15" hidden="false" customHeight="false" outlineLevel="0" collapsed="false">
      <c r="A10" s="4" t="n">
        <v>2025</v>
      </c>
      <c r="B10" s="4" t="n">
        <v>6</v>
      </c>
      <c r="C10" s="5" t="n">
        <f aca="false">SUMIFS(대사내역!$F$2:$F$113,대사내역!$A$2:$A$113,$A10,대사내역!$B$2:$B$113,$B10,대사내역!$C$2:$C$113,"매입")</f>
        <v>193523201</v>
      </c>
      <c r="D10" s="5" t="n">
        <f aca="false">SUMIFS(대사내역!$K$2:$K$113,대사내역!$A$2:$A$113,$A10,대사내역!$B$2:$B$113,$B10,대사내역!$C$2:$C$113,"매입")</f>
        <v>193523201</v>
      </c>
      <c r="E10" s="5" t="n">
        <f aca="false">C10-D10</f>
        <v>0</v>
      </c>
      <c r="F10" s="5" t="n">
        <f aca="false">SUMIFS(대사내역!$F$2:$F$113,대사내역!$A$2:$A$113,$A10,대사내역!$B$2:$B$113,$B10,대사내역!$C$2:$C$113,"매출")</f>
        <v>12435198</v>
      </c>
      <c r="G10" s="5" t="n">
        <f aca="false">SUMIFS(대사내역!$K$2:$K$113,대사내역!$A$2:$A$113,$A10,대사내역!$B$2:$B$113,$B10,대사내역!$C$2:$C$113,"매출")</f>
        <v>12435198</v>
      </c>
      <c r="H10" s="5" t="n">
        <f aca="false">F10-G10</f>
        <v>0</v>
      </c>
      <c r="I10" s="4" t="n">
        <f aca="false">COUNTIFS(대사내역!$A$2:$A$113,$A10,대사내역!$B$2:$B$113,$B10,대사내역!$M$2:$M$113,"&lt;&gt;일치")</f>
        <v>0</v>
      </c>
      <c r="J10" s="4" t="str">
        <f aca="false">IF(AND(E10=0,H10=0,I10=0),"일치","차이")</f>
        <v>일치</v>
      </c>
    </row>
    <row r="11" customFormat="false" ht="15" hidden="false" customHeight="false" outlineLevel="0" collapsed="false">
      <c r="A11" s="4" t="n">
        <v>2025</v>
      </c>
      <c r="B11" s="4" t="n">
        <v>7</v>
      </c>
      <c r="C11" s="5" t="n">
        <f aca="false">SUMIFS(대사내역!$F$2:$F$113,대사내역!$A$2:$A$113,$A11,대사내역!$B$2:$B$113,$B11,대사내역!$C$2:$C$113,"매입")</f>
        <v>178164371</v>
      </c>
      <c r="D11" s="5" t="n">
        <f aca="false">SUMIFS(대사내역!$K$2:$K$113,대사내역!$A$2:$A$113,$A11,대사내역!$B$2:$B$113,$B11,대사내역!$C$2:$C$113,"매입")</f>
        <v>178164371</v>
      </c>
      <c r="E11" s="5" t="n">
        <f aca="false">C11-D11</f>
        <v>0</v>
      </c>
      <c r="F11" s="5" t="n">
        <f aca="false">SUMIFS(대사내역!$F$2:$F$113,대사내역!$A$2:$A$113,$A11,대사내역!$B$2:$B$113,$B11,대사내역!$C$2:$C$113,"매출")</f>
        <v>13924084</v>
      </c>
      <c r="G11" s="5" t="n">
        <f aca="false">SUMIFS(대사내역!$K$2:$K$113,대사내역!$A$2:$A$113,$A11,대사내역!$B$2:$B$113,$B11,대사내역!$C$2:$C$113,"매출")</f>
        <v>13924084</v>
      </c>
      <c r="H11" s="5" t="n">
        <f aca="false">F11-G11</f>
        <v>0</v>
      </c>
      <c r="I11" s="4" t="n">
        <f aca="false">COUNTIFS(대사내역!$A$2:$A$113,$A11,대사내역!$B$2:$B$113,$B11,대사내역!$M$2:$M$113,"&lt;&gt;일치")</f>
        <v>0</v>
      </c>
      <c r="J11" s="4" t="str">
        <f aca="false">IF(AND(E11=0,H11=0,I11=0),"일치","차이")</f>
        <v>일치</v>
      </c>
    </row>
    <row r="12" customFormat="false" ht="15" hidden="false" customHeight="false" outlineLevel="0" collapsed="false">
      <c r="A12" s="4" t="n">
        <v>2025</v>
      </c>
      <c r="B12" s="4" t="n">
        <v>8</v>
      </c>
      <c r="C12" s="5" t="n">
        <f aca="false">SUMIFS(대사내역!$F$2:$F$113,대사내역!$A$2:$A$113,$A12,대사내역!$B$2:$B$113,$B12,대사내역!$C$2:$C$113,"매입")</f>
        <v>186124546</v>
      </c>
      <c r="D12" s="5" t="n">
        <f aca="false">SUMIFS(대사내역!$K$2:$K$113,대사내역!$A$2:$A$113,$A12,대사내역!$B$2:$B$113,$B12,대사내역!$C$2:$C$113,"매입")</f>
        <v>186124546</v>
      </c>
      <c r="E12" s="5" t="n">
        <f aca="false">C12-D12</f>
        <v>0</v>
      </c>
      <c r="F12" s="5" t="n">
        <f aca="false">SUMIFS(대사내역!$F$2:$F$113,대사내역!$A$2:$A$113,$A12,대사내역!$B$2:$B$113,$B12,대사내역!$C$2:$C$113,"매출")</f>
        <v>14549997</v>
      </c>
      <c r="G12" s="5" t="n">
        <f aca="false">SUMIFS(대사내역!$K$2:$K$113,대사내역!$A$2:$A$113,$A12,대사내역!$B$2:$B$113,$B12,대사내역!$C$2:$C$113,"매출")</f>
        <v>14549997</v>
      </c>
      <c r="H12" s="5" t="n">
        <f aca="false">F12-G12</f>
        <v>0</v>
      </c>
      <c r="I12" s="4" t="n">
        <f aca="false">COUNTIFS(대사내역!$A$2:$A$113,$A12,대사내역!$B$2:$B$113,$B12,대사내역!$M$2:$M$113,"&lt;&gt;일치")</f>
        <v>0</v>
      </c>
      <c r="J12" s="4" t="str">
        <f aca="false">IF(AND(E12=0,H12=0,I12=0),"일치","차이")</f>
        <v>일치</v>
      </c>
    </row>
    <row r="13" customFormat="false" ht="15" hidden="false" customHeight="false" outlineLevel="0" collapsed="false">
      <c r="A13" s="4" t="n">
        <v>2025</v>
      </c>
      <c r="B13" s="4" t="n">
        <v>9</v>
      </c>
      <c r="C13" s="5" t="n">
        <f aca="false">SUMIFS(대사내역!$F$2:$F$113,대사내역!$A$2:$A$113,$A13,대사내역!$B$2:$B$113,$B13,대사내역!$C$2:$C$113,"매입")</f>
        <v>192386722</v>
      </c>
      <c r="D13" s="5" t="n">
        <f aca="false">SUMIFS(대사내역!$K$2:$K$113,대사내역!$A$2:$A$113,$A13,대사내역!$B$2:$B$113,$B13,대사내역!$C$2:$C$113,"매입")</f>
        <v>192386722</v>
      </c>
      <c r="E13" s="5" t="n">
        <f aca="false">C13-D13</f>
        <v>0</v>
      </c>
      <c r="F13" s="5" t="n">
        <f aca="false">SUMIFS(대사내역!$F$2:$F$113,대사내역!$A$2:$A$113,$A13,대사내역!$B$2:$B$113,$B13,대사내역!$C$2:$C$113,"매출")</f>
        <v>15010317</v>
      </c>
      <c r="G13" s="5" t="n">
        <f aca="false">SUMIFS(대사내역!$K$2:$K$113,대사내역!$A$2:$A$113,$A13,대사내역!$B$2:$B$113,$B13,대사내역!$C$2:$C$113,"매출")</f>
        <v>15010317</v>
      </c>
      <c r="H13" s="5" t="n">
        <f aca="false">F13-G13</f>
        <v>0</v>
      </c>
      <c r="I13" s="4" t="n">
        <f aca="false">COUNTIFS(대사내역!$A$2:$A$113,$A13,대사내역!$B$2:$B$113,$B13,대사내역!$M$2:$M$113,"&lt;&gt;일치")</f>
        <v>0</v>
      </c>
      <c r="J13" s="4" t="str">
        <f aca="false">IF(AND(E13=0,H13=0,I13=0),"일치","차이")</f>
        <v>일치</v>
      </c>
    </row>
    <row r="14" customFormat="false" ht="15" hidden="false" customHeight="false" outlineLevel="0" collapsed="false">
      <c r="A14" s="4" t="n">
        <v>2025</v>
      </c>
      <c r="B14" s="4" t="n">
        <v>10</v>
      </c>
      <c r="C14" s="5" t="n">
        <f aca="false">SUMIFS(대사내역!$F$2:$F$113,대사내역!$A$2:$A$113,$A14,대사내역!$B$2:$B$113,$B14,대사내역!$C$2:$C$113,"매입")</f>
        <v>210740227</v>
      </c>
      <c r="D14" s="5" t="n">
        <f aca="false">SUMIFS(대사내역!$K$2:$K$113,대사내역!$A$2:$A$113,$A14,대사내역!$B$2:$B$113,$B14,대사내역!$C$2:$C$113,"매입")</f>
        <v>210740227</v>
      </c>
      <c r="E14" s="5" t="n">
        <f aca="false">C14-D14</f>
        <v>0</v>
      </c>
      <c r="F14" s="5" t="n">
        <f aca="false">SUMIFS(대사내역!$F$2:$F$113,대사내역!$A$2:$A$113,$A14,대사내역!$B$2:$B$113,$B14,대사내역!$C$2:$C$113,"매출")</f>
        <v>8605620</v>
      </c>
      <c r="G14" s="5" t="n">
        <f aca="false">SUMIFS(대사내역!$K$2:$K$113,대사내역!$A$2:$A$113,$A14,대사내역!$B$2:$B$113,$B14,대사내역!$C$2:$C$113,"매출")</f>
        <v>8605620</v>
      </c>
      <c r="H14" s="5" t="n">
        <f aca="false">F14-G14</f>
        <v>0</v>
      </c>
      <c r="I14" s="4" t="n">
        <f aca="false">COUNTIFS(대사내역!$A$2:$A$113,$A14,대사내역!$B$2:$B$113,$B14,대사내역!$M$2:$M$113,"&lt;&gt;일치")</f>
        <v>0</v>
      </c>
      <c r="J14" s="4" t="str">
        <f aca="false">IF(AND(E14=0,H14=0,I14=0),"일치","차이")</f>
        <v>일치</v>
      </c>
    </row>
    <row r="15" customFormat="false" ht="15" hidden="false" customHeight="false" outlineLevel="0" collapsed="false">
      <c r="A15" s="4" t="n">
        <v>2025</v>
      </c>
      <c r="B15" s="4" t="n">
        <v>11</v>
      </c>
      <c r="C15" s="5" t="n">
        <f aca="false">SUMIFS(대사내역!$F$2:$F$113,대사내역!$A$2:$A$113,$A15,대사내역!$B$2:$B$113,$B15,대사내역!$C$2:$C$113,"매입")</f>
        <v>141166703</v>
      </c>
      <c r="D15" s="5" t="n">
        <f aca="false">SUMIFS(대사내역!$K$2:$K$113,대사내역!$A$2:$A$113,$A15,대사내역!$B$2:$B$113,$B15,대사내역!$C$2:$C$113,"매입")</f>
        <v>141166703</v>
      </c>
      <c r="E15" s="5" t="n">
        <f aca="false">C15-D15</f>
        <v>0</v>
      </c>
      <c r="F15" s="5" t="n">
        <f aca="false">SUMIFS(대사내역!$F$2:$F$113,대사내역!$A$2:$A$113,$A15,대사내역!$B$2:$B$113,$B15,대사내역!$C$2:$C$113,"매출")</f>
        <v>8435057</v>
      </c>
      <c r="G15" s="5" t="n">
        <f aca="false">SUMIFS(대사내역!$K$2:$K$113,대사내역!$A$2:$A$113,$A15,대사내역!$B$2:$B$113,$B15,대사내역!$C$2:$C$113,"매출")</f>
        <v>8435057</v>
      </c>
      <c r="H15" s="5" t="n">
        <f aca="false">F15-G15</f>
        <v>0</v>
      </c>
      <c r="I15" s="4" t="n">
        <f aca="false">COUNTIFS(대사내역!$A$2:$A$113,$A15,대사내역!$B$2:$B$113,$B15,대사내역!$M$2:$M$113,"&lt;&gt;일치")</f>
        <v>0</v>
      </c>
      <c r="J15" s="4" t="str">
        <f aca="false">IF(AND(E15=0,H15=0,I15=0),"일치","차이")</f>
        <v>일치</v>
      </c>
    </row>
    <row r="16" customFormat="false" ht="15" hidden="false" customHeight="false" outlineLevel="0" collapsed="false">
      <c r="A16" s="4" t="n">
        <v>2025</v>
      </c>
      <c r="B16" s="4" t="n">
        <v>12</v>
      </c>
      <c r="C16" s="5" t="n">
        <f aca="false">SUMIFS(대사내역!$F$2:$F$113,대사내역!$A$2:$A$113,$A16,대사내역!$B$2:$B$113,$B16,대사내역!$C$2:$C$113,"매입")</f>
        <v>78527196</v>
      </c>
      <c r="D16" s="5" t="n">
        <f aca="false">SUMIFS(대사내역!$K$2:$K$113,대사내역!$A$2:$A$113,$A16,대사내역!$B$2:$B$113,$B16,대사내역!$C$2:$C$113,"매입")</f>
        <v>78527196</v>
      </c>
      <c r="E16" s="5" t="n">
        <f aca="false">C16-D16</f>
        <v>0</v>
      </c>
      <c r="F16" s="5" t="n">
        <f aca="false">SUMIFS(대사내역!$F$2:$F$113,대사내역!$A$2:$A$113,$A16,대사내역!$B$2:$B$113,$B16,대사내역!$C$2:$C$113,"매출")</f>
        <v>-202950</v>
      </c>
      <c r="G16" s="5" t="n">
        <f aca="false">SUMIFS(대사내역!$K$2:$K$113,대사내역!$A$2:$A$113,$A16,대사내역!$B$2:$B$113,$B16,대사내역!$C$2:$C$113,"매출")</f>
        <v>0</v>
      </c>
      <c r="H16" s="5" t="n">
        <f aca="false">F16-G16</f>
        <v>-202950</v>
      </c>
      <c r="I16" s="4" t="n">
        <f aca="false">COUNTIFS(대사내역!$A$2:$A$113,$A16,대사내역!$B$2:$B$113,$B16,대사내역!$M$2:$M$113,"&lt;&gt;일치")</f>
        <v>1</v>
      </c>
      <c r="J16" s="4" t="str">
        <f aca="false">IF(AND(E16=0,H16=0,I16=0),"일치","차이")</f>
        <v>차이</v>
      </c>
    </row>
    <row r="17" customFormat="false" ht="15" hidden="false" customHeight="false" outlineLevel="0" collapsed="false">
      <c r="A17" s="6" t="s">
        <v>11</v>
      </c>
      <c r="B17" s="6"/>
      <c r="C17" s="7" t="n">
        <f aca="false">SUM(C5:C16)</f>
        <v>1931835745</v>
      </c>
      <c r="D17" s="7" t="n">
        <f aca="false">SUM(D5:D16)</f>
        <v>1930985295</v>
      </c>
      <c r="E17" s="7" t="n">
        <f aca="false">SUM(E5:E16)</f>
        <v>850450</v>
      </c>
      <c r="F17" s="7" t="n">
        <f aca="false">SUM(F5:F16)</f>
        <v>207429804</v>
      </c>
      <c r="G17" s="7" t="n">
        <f aca="false">SUM(G5:G16)</f>
        <v>206782304</v>
      </c>
      <c r="H17" s="7" t="n">
        <f aca="false">SUM(H5:H16)</f>
        <v>647500</v>
      </c>
      <c r="I17" s="8" t="n">
        <f aca="false">SUM(I5:I16)</f>
        <v>3</v>
      </c>
      <c r="J17" s="8" t="str">
        <f aca="false">IF(AND(E17=0,H17=0,I17=0),"일치","차이")</f>
        <v>차이</v>
      </c>
    </row>
    <row r="18" customFormat="false" ht="15" hidden="false" customHeight="false" outlineLevel="0" collapsed="false">
      <c r="A18" s="9"/>
      <c r="B18" s="9"/>
      <c r="C18" s="10"/>
      <c r="D18" s="10"/>
      <c r="E18" s="10"/>
      <c r="F18" s="10"/>
      <c r="G18" s="10"/>
      <c r="H18" s="10"/>
      <c r="I18" s="9"/>
      <c r="J18" s="9"/>
    </row>
    <row r="19" customFormat="false" ht="15" hidden="false" customHeight="false" outlineLevel="0" collapsed="false">
      <c r="A19" s="4" t="n">
        <v>2026</v>
      </c>
      <c r="B19" s="4" t="n">
        <v>1</v>
      </c>
      <c r="C19" s="5" t="n">
        <f aca="false">SUMIFS(대사내역!$F$2:$F$113,대사내역!$A$2:$A$113,$A19,대사내역!$B$2:$B$113,$B19,대사내역!$C$2:$C$113,"매입")</f>
        <v>141400106</v>
      </c>
      <c r="D19" s="5" t="n">
        <f aca="false">SUMIFS(대사내역!$K$2:$K$113,대사내역!$A$2:$A$113,$A19,대사내역!$B$2:$B$113,$B19,대사내역!$C$2:$C$113,"매입")</f>
        <v>141400106</v>
      </c>
      <c r="E19" s="5" t="n">
        <f aca="false">C19-D19</f>
        <v>0</v>
      </c>
      <c r="F19" s="5" t="n">
        <f aca="false">SUMIFS(대사내역!$F$2:$F$113,대사내역!$A$2:$A$113,$A19,대사내역!$B$2:$B$113,$B19,대사내역!$C$2:$C$113,"매출")</f>
        <v>20575995</v>
      </c>
      <c r="G19" s="5" t="n">
        <f aca="false">SUMIFS(대사내역!$K$2:$K$113,대사내역!$A$2:$A$113,$A19,대사내역!$B$2:$B$113,$B19,대사내역!$C$2:$C$113,"매출")</f>
        <v>20575995</v>
      </c>
      <c r="H19" s="5" t="n">
        <f aca="false">F19-G19</f>
        <v>0</v>
      </c>
      <c r="I19" s="4" t="n">
        <f aca="false">COUNTIFS(대사내역!$A$2:$A$113,$A19,대사내역!$B$2:$B$113,$B19,대사내역!$M$2:$M$113,"&lt;&gt;일치")</f>
        <v>0</v>
      </c>
      <c r="J19" s="4" t="str">
        <f aca="false">IF(AND(E19=0,H19=0,I19=0),"일치","차이")</f>
        <v>일치</v>
      </c>
    </row>
    <row r="20" customFormat="false" ht="15" hidden="false" customHeight="false" outlineLevel="0" collapsed="false">
      <c r="A20" s="4" t="n">
        <v>2026</v>
      </c>
      <c r="B20" s="4" t="n">
        <v>2</v>
      </c>
      <c r="C20" s="5" t="n">
        <f aca="false">SUMIFS(대사내역!$F$2:$F$113,대사내역!$A$2:$A$113,$A20,대사내역!$B$2:$B$113,$B20,대사내역!$C$2:$C$113,"매입")</f>
        <v>98615812</v>
      </c>
      <c r="D20" s="5" t="n">
        <f aca="false">SUMIFS(대사내역!$K$2:$K$113,대사내역!$A$2:$A$113,$A20,대사내역!$B$2:$B$113,$B20,대사내역!$C$2:$C$113,"매입")</f>
        <v>98615812</v>
      </c>
      <c r="E20" s="5" t="n">
        <f aca="false">C20-D20</f>
        <v>0</v>
      </c>
      <c r="F20" s="5" t="n">
        <f aca="false">SUMIFS(대사내역!$F$2:$F$113,대사내역!$A$2:$A$113,$A20,대사내역!$B$2:$B$113,$B20,대사내역!$C$2:$C$113,"매출")</f>
        <v>0</v>
      </c>
      <c r="G20" s="5" t="n">
        <f aca="false">SUMIFS(대사내역!$K$2:$K$113,대사내역!$A$2:$A$113,$A20,대사내역!$B$2:$B$113,$B20,대사내역!$C$2:$C$113,"매출")</f>
        <v>0</v>
      </c>
      <c r="H20" s="5" t="n">
        <f aca="false">F20-G20</f>
        <v>0</v>
      </c>
      <c r="I20" s="4" t="n">
        <f aca="false">COUNTIFS(대사내역!$A$2:$A$113,$A20,대사내역!$B$2:$B$113,$B20,대사내역!$M$2:$M$113,"&lt;&gt;일치")</f>
        <v>0</v>
      </c>
      <c r="J20" s="4" t="str">
        <f aca="false">IF(AND(E20=0,H20=0,I20=0),"일치","차이")</f>
        <v>일치</v>
      </c>
    </row>
    <row r="21" customFormat="false" ht="15" hidden="false" customHeight="false" outlineLevel="0" collapsed="false">
      <c r="A21" s="4" t="n">
        <v>2026</v>
      </c>
      <c r="B21" s="4" t="n">
        <v>3</v>
      </c>
      <c r="C21" s="5" t="n">
        <f aca="false">SUMIFS(대사내역!$F$2:$F$113,대사내역!$A$2:$A$113,$A21,대사내역!$B$2:$B$113,$B21,대사내역!$C$2:$C$113,"매입")</f>
        <v>467883394</v>
      </c>
      <c r="D21" s="5" t="n">
        <f aca="false">SUMIFS(대사내역!$K$2:$K$113,대사내역!$A$2:$A$113,$A21,대사내역!$B$2:$B$113,$B21,대사내역!$C$2:$C$113,"매입")</f>
        <v>467883394</v>
      </c>
      <c r="E21" s="5" t="n">
        <f aca="false">C21-D21</f>
        <v>0</v>
      </c>
      <c r="F21" s="5" t="n">
        <f aca="false">SUMIFS(대사내역!$F$2:$F$113,대사내역!$A$2:$A$113,$A21,대사내역!$B$2:$B$113,$B21,대사내역!$C$2:$C$113,"매출")</f>
        <v>26780167</v>
      </c>
      <c r="G21" s="5" t="n">
        <f aca="false">SUMIFS(대사내역!$K$2:$K$113,대사내역!$A$2:$A$113,$A21,대사내역!$B$2:$B$113,$B21,대사내역!$C$2:$C$113,"매출")</f>
        <v>26780167</v>
      </c>
      <c r="H21" s="5" t="n">
        <f aca="false">F21-G21</f>
        <v>0</v>
      </c>
      <c r="I21" s="4" t="n">
        <f aca="false">COUNTIFS(대사내역!$A$2:$A$113,$A21,대사내역!$B$2:$B$113,$B21,대사내역!$M$2:$M$113,"&lt;&gt;일치")</f>
        <v>0</v>
      </c>
      <c r="J21" s="4" t="str">
        <f aca="false">IF(AND(E21=0,H21=0,I21=0),"일치","차이")</f>
        <v>일치</v>
      </c>
    </row>
    <row r="22" customFormat="false" ht="15" hidden="false" customHeight="false" outlineLevel="0" collapsed="false">
      <c r="A22" s="4" t="n">
        <v>2026</v>
      </c>
      <c r="B22" s="4" t="n">
        <v>4</v>
      </c>
      <c r="C22" s="5" t="n">
        <f aca="false">SUMIFS(대사내역!$F$2:$F$113,대사내역!$A$2:$A$113,$A22,대사내역!$B$2:$B$113,$B22,대사내역!$C$2:$C$113,"매입")</f>
        <v>89480492</v>
      </c>
      <c r="D22" s="5" t="n">
        <f aca="false">SUMIFS(대사내역!$K$2:$K$113,대사내역!$A$2:$A$113,$A22,대사내역!$B$2:$B$113,$B22,대사내역!$C$2:$C$113,"매입")</f>
        <v>89480492</v>
      </c>
      <c r="E22" s="5" t="n">
        <f aca="false">C22-D22</f>
        <v>0</v>
      </c>
      <c r="F22" s="5" t="n">
        <f aca="false">SUMIFS(대사내역!$F$2:$F$113,대사내역!$A$2:$A$113,$A22,대사내역!$B$2:$B$113,$B22,대사내역!$C$2:$C$113,"매출")</f>
        <v>96566621</v>
      </c>
      <c r="G22" s="5" t="n">
        <f aca="false">SUMIFS(대사내역!$K$2:$K$113,대사내역!$A$2:$A$113,$A22,대사내역!$B$2:$B$113,$B22,대사내역!$C$2:$C$113,"매출")</f>
        <v>96566621</v>
      </c>
      <c r="H22" s="5" t="n">
        <f aca="false">F22-G22</f>
        <v>0</v>
      </c>
      <c r="I22" s="4" t="n">
        <f aca="false">COUNTIFS(대사내역!$A$2:$A$113,$A22,대사내역!$B$2:$B$113,$B22,대사내역!$M$2:$M$113,"&lt;&gt;일치")</f>
        <v>0</v>
      </c>
      <c r="J22" s="4" t="str">
        <f aca="false">IF(AND(E22=0,H22=0,I22=0),"일치","차이")</f>
        <v>일치</v>
      </c>
    </row>
    <row r="23" customFormat="false" ht="15" hidden="false" customHeight="false" outlineLevel="0" collapsed="false">
      <c r="A23" s="4" t="n">
        <v>2026</v>
      </c>
      <c r="B23" s="4" t="n">
        <v>5</v>
      </c>
      <c r="C23" s="5" t="n">
        <f aca="false">SUMIFS(대사내역!$F$2:$F$113,대사내역!$A$2:$A$113,$A23,대사내역!$B$2:$B$113,$B23,대사내역!$C$2:$C$113,"매입")</f>
        <v>171576529</v>
      </c>
      <c r="D23" s="5" t="n">
        <f aca="false">SUMIFS(대사내역!$K$2:$K$113,대사내역!$A$2:$A$113,$A23,대사내역!$B$2:$B$113,$B23,대사내역!$C$2:$C$113,"매입")</f>
        <v>171576529</v>
      </c>
      <c r="E23" s="5" t="n">
        <f aca="false">C23-D23</f>
        <v>0</v>
      </c>
      <c r="F23" s="5" t="n">
        <f aca="false">SUMIFS(대사내역!$F$2:$F$113,대사내역!$A$2:$A$113,$A23,대사내역!$B$2:$B$113,$B23,대사내역!$C$2:$C$113,"매출")</f>
        <v>99764713</v>
      </c>
      <c r="G23" s="5" t="n">
        <f aca="false">SUMIFS(대사내역!$K$2:$K$113,대사내역!$A$2:$A$113,$A23,대사내역!$B$2:$B$113,$B23,대사내역!$C$2:$C$113,"매출")</f>
        <v>99764713</v>
      </c>
      <c r="H23" s="5" t="n">
        <f aca="false">F23-G23</f>
        <v>0</v>
      </c>
      <c r="I23" s="4" t="n">
        <f aca="false">COUNTIFS(대사내역!$A$2:$A$113,$A23,대사내역!$B$2:$B$113,$B23,대사내역!$M$2:$M$113,"&lt;&gt;일치")</f>
        <v>0</v>
      </c>
      <c r="J23" s="4" t="str">
        <f aca="false">IF(AND(E23=0,H23=0,I23=0),"일치","차이")</f>
        <v>일치</v>
      </c>
    </row>
    <row r="24" customFormat="false" ht="15" hidden="false" customHeight="false" outlineLevel="0" collapsed="false">
      <c r="A24" s="4" t="n">
        <v>2026</v>
      </c>
      <c r="B24" s="4" t="n">
        <v>6</v>
      </c>
      <c r="C24" s="5" t="n">
        <f aca="false">SUMIFS(대사내역!$F$2:$F$113,대사내역!$A$2:$A$113,$A24,대사내역!$B$2:$B$113,$B24,대사내역!$C$2:$C$113,"매입")</f>
        <v>258214913</v>
      </c>
      <c r="D24" s="5" t="n">
        <f aca="false">SUMIFS(대사내역!$K$2:$K$113,대사내역!$A$2:$A$113,$A24,대사내역!$B$2:$B$113,$B24,대사내역!$C$2:$C$113,"매입")</f>
        <v>258214913</v>
      </c>
      <c r="E24" s="5" t="n">
        <f aca="false">C24-D24</f>
        <v>0</v>
      </c>
      <c r="F24" s="5" t="n">
        <f aca="false">SUMIFS(대사내역!$F$2:$F$113,대사내역!$A$2:$A$113,$A24,대사내역!$B$2:$B$113,$B24,대사내역!$C$2:$C$113,"매출")</f>
        <v>-36903535</v>
      </c>
      <c r="G24" s="5" t="n">
        <f aca="false">SUMIFS(대사내역!$K$2:$K$113,대사내역!$A$2:$A$113,$A24,대사내역!$B$2:$B$113,$B24,대사내역!$C$2:$C$113,"매출")</f>
        <v>-36903535</v>
      </c>
      <c r="H24" s="5" t="n">
        <f aca="false">F24-G24</f>
        <v>0</v>
      </c>
      <c r="I24" s="4" t="n">
        <f aca="false">COUNTIFS(대사내역!$A$2:$A$113,$A24,대사내역!$B$2:$B$113,$B24,대사내역!$M$2:$M$113,"&lt;&gt;일치")</f>
        <v>0</v>
      </c>
      <c r="J24" s="4" t="str">
        <f aca="false">IF(AND(E24=0,H24=0,I24=0),"일치","차이")</f>
        <v>일치</v>
      </c>
    </row>
    <row r="25" customFormat="false" ht="15" hidden="false" customHeight="false" outlineLevel="0" collapsed="false">
      <c r="A25" s="4" t="n">
        <v>2026</v>
      </c>
      <c r="B25" s="4" t="n">
        <v>7</v>
      </c>
      <c r="C25" s="5" t="n">
        <f aca="false">SUMIFS(대사내역!$F$2:$F$113,대사내역!$A$2:$A$113,$A25,대사내역!$B$2:$B$113,$B25,대사내역!$C$2:$C$113,"매입")</f>
        <v>203572129</v>
      </c>
      <c r="D25" s="5" t="n">
        <f aca="false">SUMIFS(대사내역!$K$2:$K$113,대사내역!$A$2:$A$113,$A25,대사내역!$B$2:$B$113,$B25,대사내역!$C$2:$C$113,"매입")</f>
        <v>203572129</v>
      </c>
      <c r="E25" s="5" t="n">
        <f aca="false">C25-D25</f>
        <v>0</v>
      </c>
      <c r="F25" s="5" t="n">
        <f aca="false">SUMIFS(대사내역!$F$2:$F$113,대사내역!$A$2:$A$113,$A25,대사내역!$B$2:$B$113,$B25,대사내역!$C$2:$C$113,"매출")</f>
        <v>284531</v>
      </c>
      <c r="G25" s="5" t="n">
        <f aca="false">SUMIFS(대사내역!$K$2:$K$113,대사내역!$A$2:$A$113,$A25,대사내역!$B$2:$B$113,$B25,대사내역!$C$2:$C$113,"매출")</f>
        <v>284531</v>
      </c>
      <c r="H25" s="5" t="n">
        <f aca="false">F25-G25</f>
        <v>0</v>
      </c>
      <c r="I25" s="4" t="n">
        <f aca="false">COUNTIFS(대사내역!$A$2:$A$113,$A25,대사내역!$B$2:$B$113,$B25,대사내역!$M$2:$M$113,"&lt;&gt;일치")</f>
        <v>0</v>
      </c>
      <c r="J25" s="4" t="str">
        <f aca="false">IF(AND(E25=0,H25=0,I25=0),"일치","차이")</f>
        <v>일치</v>
      </c>
    </row>
    <row r="26" customFormat="false" ht="15" hidden="false" customHeight="false" outlineLevel="0" collapsed="false">
      <c r="A26" s="4" t="n">
        <v>2026</v>
      </c>
      <c r="B26" s="4" t="n">
        <v>8</v>
      </c>
      <c r="C26" s="5" t="n">
        <f aca="false">SUMIFS(대사내역!$F$2:$F$113,대사내역!$A$2:$A$113,$A26,대사내역!$B$2:$B$113,$B26,대사내역!$C$2:$C$113,"매입")</f>
        <v>159014061</v>
      </c>
      <c r="D26" s="5" t="n">
        <f aca="false">SUMIFS(대사내역!$K$2:$K$113,대사내역!$A$2:$A$113,$A26,대사내역!$B$2:$B$113,$B26,대사내역!$C$2:$C$113,"매입")</f>
        <v>159014061</v>
      </c>
      <c r="E26" s="5" t="n">
        <f aca="false">C26-D26</f>
        <v>0</v>
      </c>
      <c r="F26" s="5" t="n">
        <f aca="false">SUMIFS(대사내역!$F$2:$F$113,대사내역!$A$2:$A$113,$A26,대사내역!$B$2:$B$113,$B26,대사내역!$C$2:$C$113,"매출")</f>
        <v>23463006</v>
      </c>
      <c r="G26" s="5" t="n">
        <f aca="false">SUMIFS(대사내역!$K$2:$K$113,대사내역!$A$2:$A$113,$A26,대사내역!$B$2:$B$113,$B26,대사내역!$C$2:$C$113,"매출")</f>
        <v>23463006</v>
      </c>
      <c r="H26" s="5" t="n">
        <f aca="false">F26-G26</f>
        <v>0</v>
      </c>
      <c r="I26" s="4" t="n">
        <f aca="false">COUNTIFS(대사내역!$A$2:$A$113,$A26,대사내역!$B$2:$B$113,$B26,대사내역!$M$2:$M$113,"&lt;&gt;일치")</f>
        <v>0</v>
      </c>
      <c r="J26" s="4" t="str">
        <f aca="false">IF(AND(E26=0,H26=0,I26=0),"일치","차이")</f>
        <v>일치</v>
      </c>
    </row>
    <row r="27" customFormat="false" ht="15" hidden="false" customHeight="false" outlineLevel="0" collapsed="false">
      <c r="A27" s="4" t="n">
        <v>2026</v>
      </c>
      <c r="B27" s="4" t="n">
        <v>9</v>
      </c>
      <c r="C27" s="5" t="n">
        <f aca="false">SUMIFS(대사내역!$F$2:$F$113,대사내역!$A$2:$A$113,$A27,대사내역!$B$2:$B$113,$B27,대사내역!$C$2:$C$113,"매입")</f>
        <v>19459211</v>
      </c>
      <c r="D27" s="5" t="n">
        <f aca="false">SUMIFS(대사내역!$K$2:$K$113,대사내역!$A$2:$A$113,$A27,대사내역!$B$2:$B$113,$B27,대사내역!$C$2:$C$113,"매입")</f>
        <v>21619524</v>
      </c>
      <c r="E27" s="5" t="n">
        <f aca="false">C27-D27</f>
        <v>-2160313</v>
      </c>
      <c r="F27" s="5" t="n">
        <f aca="false">SUMIFS(대사내역!$F$2:$F$113,대사내역!$A$2:$A$113,$A27,대사내역!$B$2:$B$113,$B27,대사내역!$C$2:$C$113,"매출")</f>
        <v>0</v>
      </c>
      <c r="G27" s="5" t="n">
        <f aca="false">SUMIFS(대사내역!$K$2:$K$113,대사내역!$A$2:$A$113,$A27,대사내역!$B$2:$B$113,$B27,대사내역!$C$2:$C$113,"매출")</f>
        <v>0</v>
      </c>
      <c r="H27" s="5" t="n">
        <f aca="false">F27-G27</f>
        <v>0</v>
      </c>
      <c r="I27" s="4" t="n">
        <f aca="false">COUNTIFS(대사내역!$A$2:$A$113,$A27,대사내역!$B$2:$B$113,$B27,대사내역!$M$2:$M$113,"&lt;&gt;일치")</f>
        <v>1</v>
      </c>
      <c r="J27" s="4" t="str">
        <f aca="false">IF(AND(E27=0,H27=0,I27=0),"일치","차이")</f>
        <v>차이</v>
      </c>
    </row>
    <row r="28" customFormat="false" ht="15" hidden="false" customHeight="false" outlineLevel="0" collapsed="false">
      <c r="A28" s="6" t="s">
        <v>12</v>
      </c>
      <c r="B28" s="6"/>
      <c r="C28" s="7" t="n">
        <f aca="false">SUM(C19:C27)</f>
        <v>1609216647</v>
      </c>
      <c r="D28" s="7" t="n">
        <f aca="false">SUM(D19:D27)</f>
        <v>1611376960</v>
      </c>
      <c r="E28" s="7" t="n">
        <f aca="false">SUM(E19:E27)</f>
        <v>-2160313</v>
      </c>
      <c r="F28" s="7" t="n">
        <f aca="false">SUM(F19:F27)</f>
        <v>230531498</v>
      </c>
      <c r="G28" s="7" t="n">
        <f aca="false">SUM(G19:G27)</f>
        <v>230531498</v>
      </c>
      <c r="H28" s="7" t="n">
        <f aca="false">SUM(H19:H27)</f>
        <v>0</v>
      </c>
      <c r="I28" s="8" t="n">
        <f aca="false">SUM(I19:I27)</f>
        <v>1</v>
      </c>
      <c r="J28" s="8" t="str">
        <f aca="false">IF(AND(E28=0,H28=0,I28=0),"일치","차이")</f>
        <v>차이</v>
      </c>
    </row>
    <row r="29" customFormat="false" ht="15" hidden="false" customHeight="false" outlineLevel="0" collapsed="false">
      <c r="A29" s="9"/>
      <c r="B29" s="9"/>
      <c r="C29" s="10"/>
      <c r="D29" s="10"/>
      <c r="E29" s="10"/>
      <c r="F29" s="10"/>
      <c r="G29" s="10"/>
      <c r="H29" s="10"/>
      <c r="I29" s="9"/>
      <c r="J29" s="9"/>
    </row>
    <row r="30" customFormat="false" ht="15" hidden="false" customHeight="false" outlineLevel="0" collapsed="false">
      <c r="A30" s="11" t="s">
        <v>13</v>
      </c>
      <c r="B30" s="9"/>
      <c r="C30" s="10"/>
      <c r="D30" s="10"/>
      <c r="E30" s="10"/>
      <c r="F30" s="10"/>
      <c r="G30" s="10"/>
      <c r="H30" s="10"/>
      <c r="I30" s="9"/>
      <c r="J30" s="9"/>
    </row>
    <row r="31" customFormat="false" ht="15" hidden="false" customHeight="false" outlineLevel="0" collapsed="false">
      <c r="A31" s="3" t="s">
        <v>2</v>
      </c>
      <c r="B31" s="3" t="s">
        <v>14</v>
      </c>
      <c r="C31" s="3" t="s">
        <v>15</v>
      </c>
      <c r="D31" s="3" t="s">
        <v>16</v>
      </c>
      <c r="E31" s="3" t="s">
        <v>6</v>
      </c>
    </row>
    <row r="32" customFormat="false" ht="15" hidden="false" customHeight="false" outlineLevel="0" collapsed="false">
      <c r="A32" s="12" t="n">
        <v>2025</v>
      </c>
      <c r="B32" s="13" t="s">
        <v>17</v>
      </c>
      <c r="C32" s="14" t="n">
        <v>1930985295</v>
      </c>
      <c r="D32" s="5" t="n">
        <f aca="false">SUMIFS(대사내역!$K$2:$K$113,대사내역!$A$2:$A$113,A32,대사내역!$C$2:$C$113,B32)</f>
        <v>1930985295</v>
      </c>
      <c r="E32" s="5" t="n">
        <f aca="false">C32-D32</f>
        <v>0</v>
      </c>
    </row>
    <row r="33" customFormat="false" ht="15" hidden="false" customHeight="false" outlineLevel="0" collapsed="false">
      <c r="A33" s="12" t="n">
        <v>2025</v>
      </c>
      <c r="B33" s="13" t="s">
        <v>18</v>
      </c>
      <c r="C33" s="14" t="n">
        <v>206782304</v>
      </c>
      <c r="D33" s="5" t="n">
        <f aca="false">SUMIFS(대사내역!$K$2:$K$113,대사내역!$A$2:$A$113,A33,대사내역!$C$2:$C$113,B33)</f>
        <v>206782304</v>
      </c>
      <c r="E33" s="5" t="n">
        <f aca="false">C33-D33</f>
        <v>0</v>
      </c>
    </row>
    <row r="34" customFormat="false" ht="15" hidden="false" customHeight="false" outlineLevel="0" collapsed="false">
      <c r="A34" s="12" t="n">
        <v>2026</v>
      </c>
      <c r="B34" s="13" t="s">
        <v>17</v>
      </c>
      <c r="C34" s="14" t="n">
        <v>1611376960</v>
      </c>
      <c r="D34" s="5" t="n">
        <f aca="false">SUMIFS(대사내역!$K$2:$K$113,대사내역!$A$2:$A$113,A34,대사내역!$C$2:$C$113,B34)</f>
        <v>1611376960</v>
      </c>
      <c r="E34" s="5" t="n">
        <f aca="false">C34-D34</f>
        <v>0</v>
      </c>
    </row>
    <row r="35" customFormat="false" ht="15" hidden="false" customHeight="false" outlineLevel="0" collapsed="false">
      <c r="A35" s="12" t="n">
        <v>2026</v>
      </c>
      <c r="B35" s="13" t="s">
        <v>18</v>
      </c>
      <c r="C35" s="14" t="n">
        <v>230531498</v>
      </c>
      <c r="D35" s="5" t="n">
        <f aca="false">SUMIFS(대사내역!$K$2:$K$113,대사내역!$A$2:$A$113,A35,대사내역!$C$2:$C$113,B35)</f>
        <v>230531498</v>
      </c>
      <c r="E35" s="5" t="n">
        <f aca="false">C35-D35</f>
        <v>0</v>
      </c>
    </row>
  </sheetData>
  <mergeCells count="2">
    <mergeCell ref="A17:B17"/>
    <mergeCell ref="A28:B28"/>
  </mergeCells>
  <conditionalFormatting sqref="A5:J30">
    <cfRule type="expression" priority="2" aboveAverage="0" equalAverage="0" bottom="0" percent="0" rank="0" text="" dxfId="0">
      <formula>$J5="차이"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5"/>
    <col collapsed="false" customWidth="true" hidden="false" outlineLevel="0" max="7" min="7" style="0" width="62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15" t="s">
        <v>20</v>
      </c>
      <c r="B3" s="3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</row>
    <row r="4" customFormat="false" ht="26.85" hidden="false" customHeight="false" outlineLevel="0" collapsed="false">
      <c r="A4" s="16" t="n">
        <v>1</v>
      </c>
      <c r="B4" s="17" t="s">
        <v>27</v>
      </c>
      <c r="C4" s="16" t="s">
        <v>28</v>
      </c>
      <c r="D4" s="16" t="s">
        <v>29</v>
      </c>
      <c r="E4" s="17" t="s">
        <v>17</v>
      </c>
      <c r="F4" s="18" t="n">
        <v>2160313</v>
      </c>
      <c r="G4" s="17" t="s">
        <v>30</v>
      </c>
      <c r="H4" s="17" t="s">
        <v>31</v>
      </c>
    </row>
    <row r="5" customFormat="false" ht="26.85" hidden="false" customHeight="false" outlineLevel="0" collapsed="false">
      <c r="A5" s="16" t="n">
        <v>2</v>
      </c>
      <c r="B5" s="17" t="s">
        <v>27</v>
      </c>
      <c r="C5" s="16" t="s">
        <v>32</v>
      </c>
      <c r="D5" s="16" t="s">
        <v>33</v>
      </c>
      <c r="E5" s="17" t="s">
        <v>18</v>
      </c>
      <c r="F5" s="18" t="n">
        <v>-202950</v>
      </c>
      <c r="G5" s="17" t="s">
        <v>34</v>
      </c>
      <c r="H5" s="17" t="s">
        <v>35</v>
      </c>
    </row>
    <row r="6" customFormat="false" ht="26.85" hidden="false" customHeight="false" outlineLevel="0" collapsed="false">
      <c r="A6" s="19" t="n">
        <v>3</v>
      </c>
      <c r="B6" s="20" t="s">
        <v>36</v>
      </c>
      <c r="C6" s="19" t="s">
        <v>37</v>
      </c>
      <c r="D6" s="19" t="s">
        <v>38</v>
      </c>
      <c r="E6" s="20" t="s">
        <v>39</v>
      </c>
      <c r="F6" s="21" t="n">
        <v>850450</v>
      </c>
      <c r="G6" s="20" t="s">
        <v>40</v>
      </c>
      <c r="H6" s="20" t="s">
        <v>41</v>
      </c>
    </row>
    <row r="7" customFormat="false" ht="15" hidden="false" customHeight="false" outlineLevel="0" collapsed="false">
      <c r="A7" s="19" t="n">
        <v>4</v>
      </c>
      <c r="B7" s="20" t="s">
        <v>42</v>
      </c>
      <c r="C7" s="19" t="s">
        <v>43</v>
      </c>
      <c r="D7" s="19" t="s">
        <v>29</v>
      </c>
      <c r="E7" s="20" t="s">
        <v>18</v>
      </c>
      <c r="F7" s="21" t="n">
        <v>15010317</v>
      </c>
      <c r="G7" s="20" t="s">
        <v>44</v>
      </c>
      <c r="H7" s="20" t="s">
        <v>45</v>
      </c>
    </row>
    <row r="8" customFormat="false" ht="26.85" hidden="false" customHeight="false" outlineLevel="0" collapsed="false">
      <c r="A8" s="19" t="n">
        <v>5</v>
      </c>
      <c r="B8" s="20" t="s">
        <v>46</v>
      </c>
      <c r="C8" s="19" t="s">
        <v>47</v>
      </c>
      <c r="D8" s="19" t="s">
        <v>48</v>
      </c>
      <c r="E8" s="20" t="s">
        <v>17</v>
      </c>
      <c r="F8" s="21" t="n">
        <v>4125000</v>
      </c>
      <c r="G8" s="20" t="s">
        <v>49</v>
      </c>
      <c r="H8" s="20" t="s">
        <v>50</v>
      </c>
    </row>
    <row r="9" customFormat="false" ht="26.85" hidden="false" customHeight="false" outlineLevel="0" collapsed="false">
      <c r="A9" s="19" t="n">
        <v>6</v>
      </c>
      <c r="B9" s="20" t="s">
        <v>46</v>
      </c>
      <c r="C9" s="19" t="s">
        <v>51</v>
      </c>
      <c r="D9" s="19" t="s">
        <v>52</v>
      </c>
      <c r="E9" s="20" t="s">
        <v>17</v>
      </c>
      <c r="F9" s="21" t="n">
        <v>8254097</v>
      </c>
      <c r="G9" s="20" t="s">
        <v>53</v>
      </c>
      <c r="H9" s="19" t="s">
        <v>54</v>
      </c>
    </row>
    <row r="10" customFormat="false" ht="26.85" hidden="false" customHeight="false" outlineLevel="0" collapsed="false">
      <c r="A10" s="19" t="n">
        <v>7</v>
      </c>
      <c r="B10" s="20" t="s">
        <v>55</v>
      </c>
      <c r="C10" s="19" t="s">
        <v>56</v>
      </c>
      <c r="D10" s="19" t="s">
        <v>57</v>
      </c>
      <c r="E10" s="20" t="s">
        <v>17</v>
      </c>
      <c r="F10" s="21" t="n">
        <v>454055451</v>
      </c>
      <c r="G10" s="20" t="s">
        <v>58</v>
      </c>
      <c r="H10" s="20" t="s">
        <v>59</v>
      </c>
    </row>
    <row r="11" customFormat="false" ht="15" hidden="false" customHeight="false" outlineLevel="0" collapsed="false">
      <c r="A11" s="19" t="n">
        <v>8</v>
      </c>
      <c r="B11" s="20" t="s">
        <v>55</v>
      </c>
      <c r="C11" s="19" t="s">
        <v>60</v>
      </c>
      <c r="D11" s="19" t="s">
        <v>61</v>
      </c>
      <c r="E11" s="20" t="s">
        <v>17</v>
      </c>
      <c r="F11" s="21" t="n">
        <v>117283155</v>
      </c>
      <c r="G11" s="20" t="s">
        <v>62</v>
      </c>
      <c r="H11" s="20" t="s">
        <v>63</v>
      </c>
    </row>
    <row r="12" customFormat="false" ht="26.85" hidden="false" customHeight="false" outlineLevel="0" collapsed="false">
      <c r="A12" s="19" t="n">
        <v>9</v>
      </c>
      <c r="B12" s="20" t="s">
        <v>64</v>
      </c>
      <c r="C12" s="19" t="s">
        <v>65</v>
      </c>
      <c r="D12" s="19" t="s">
        <v>66</v>
      </c>
      <c r="E12" s="20" t="s">
        <v>18</v>
      </c>
      <c r="F12" s="21" t="n">
        <v>14427365</v>
      </c>
      <c r="G12" s="20" t="s">
        <v>67</v>
      </c>
      <c r="H12" s="20" t="s">
        <v>68</v>
      </c>
    </row>
    <row r="13" customFormat="false" ht="15" hidden="false" customHeight="false" outlineLevel="0" collapsed="false">
      <c r="A13" s="19" t="n">
        <v>10</v>
      </c>
      <c r="B13" s="20" t="s">
        <v>64</v>
      </c>
      <c r="C13" s="19" t="s">
        <v>56</v>
      </c>
      <c r="D13" s="19" t="s">
        <v>69</v>
      </c>
      <c r="E13" s="20" t="s">
        <v>18</v>
      </c>
      <c r="F13" s="21" t="n">
        <v>9523137</v>
      </c>
      <c r="G13" s="20" t="s">
        <v>70</v>
      </c>
      <c r="H13" s="20" t="s">
        <v>71</v>
      </c>
    </row>
    <row r="14" customFormat="false" ht="39.55" hidden="false" customHeight="false" outlineLevel="0" collapsed="false">
      <c r="A14" s="22" t="n">
        <v>11</v>
      </c>
      <c r="B14" s="23" t="s">
        <v>72</v>
      </c>
      <c r="C14" s="22" t="s">
        <v>73</v>
      </c>
      <c r="D14" s="22"/>
      <c r="E14" s="23" t="s">
        <v>18</v>
      </c>
      <c r="F14" s="24" t="n">
        <v>57750000</v>
      </c>
      <c r="G14" s="23" t="s">
        <v>74</v>
      </c>
      <c r="H14" s="23" t="s">
        <v>75</v>
      </c>
    </row>
    <row r="15" customFormat="false" ht="15" hidden="false" customHeight="false" outlineLevel="0" collapsed="false">
      <c r="A15" s="22" t="n">
        <v>12</v>
      </c>
      <c r="B15" s="23" t="s">
        <v>72</v>
      </c>
      <c r="C15" s="22" t="s">
        <v>76</v>
      </c>
      <c r="D15" s="22" t="s">
        <v>77</v>
      </c>
      <c r="E15" s="23" t="s">
        <v>18</v>
      </c>
      <c r="F15" s="24" t="n">
        <v>35266495</v>
      </c>
      <c r="G15" s="23" t="s">
        <v>78</v>
      </c>
      <c r="H15" s="23" t="s">
        <v>79</v>
      </c>
    </row>
    <row r="16" customFormat="false" ht="26.85" hidden="false" customHeight="false" outlineLevel="0" collapsed="false">
      <c r="A16" s="22" t="n">
        <v>13</v>
      </c>
      <c r="B16" s="23" t="s">
        <v>72</v>
      </c>
      <c r="C16" s="22" t="s">
        <v>28</v>
      </c>
      <c r="D16" s="22"/>
      <c r="E16" s="23" t="s">
        <v>80</v>
      </c>
      <c r="F16" s="24"/>
      <c r="G16" s="22" t="s">
        <v>81</v>
      </c>
      <c r="H16" s="2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46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46"/>
    <col collapsed="false" customWidth="true" hidden="false" outlineLevel="0" max="9" min="9" style="0" width="6"/>
    <col collapsed="false" customWidth="true" hidden="false" outlineLevel="0" max="10" min="10" style="0" width="20"/>
    <col collapsed="false" customWidth="true" hidden="false" outlineLevel="0" max="12" min="11" style="0" width="15"/>
    <col collapsed="false" customWidth="true" hidden="false" outlineLevel="0" max="13" min="13" style="0" width="10"/>
    <col collapsed="false" customWidth="true" hidden="false" outlineLevel="0" max="14" min="14" style="0" width="60"/>
  </cols>
  <sheetData>
    <row r="1" customFormat="false" ht="26.85" hidden="false" customHeight="false" outlineLevel="0" collapsed="false">
      <c r="A1" s="3" t="s">
        <v>2</v>
      </c>
      <c r="B1" s="3" t="s">
        <v>3</v>
      </c>
      <c r="C1" s="3" t="s">
        <v>14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</row>
    <row r="2" customFormat="false" ht="15" hidden="false" customHeight="false" outlineLevel="0" collapsed="false">
      <c r="A2" s="12" t="n">
        <v>2025</v>
      </c>
      <c r="B2" s="12" t="n">
        <v>1</v>
      </c>
      <c r="C2" s="13" t="s">
        <v>17</v>
      </c>
      <c r="D2" s="12" t="s">
        <v>66</v>
      </c>
      <c r="E2" s="12" t="s">
        <v>94</v>
      </c>
      <c r="F2" s="5" t="n">
        <v>2112000</v>
      </c>
      <c r="G2" s="12" t="s">
        <v>66</v>
      </c>
      <c r="H2" s="12" t="s">
        <v>95</v>
      </c>
      <c r="I2" s="13" t="s">
        <v>96</v>
      </c>
      <c r="J2" s="13" t="s">
        <v>97</v>
      </c>
      <c r="K2" s="5" t="n">
        <v>2112000</v>
      </c>
      <c r="L2" s="5" t="n">
        <f aca="false">N(F2)-N(K2)</f>
        <v>0</v>
      </c>
      <c r="M2" s="25" t="str">
        <f aca="false">IF(F2="","미션에만",IF(K2="","원장에만",IF(L2=0,"일치","금액차이")))</f>
        <v>일치</v>
      </c>
      <c r="N2" s="12"/>
    </row>
    <row r="3" customFormat="false" ht="15" hidden="false" customHeight="false" outlineLevel="0" collapsed="false">
      <c r="A3" s="12" t="n">
        <v>2025</v>
      </c>
      <c r="B3" s="12" t="n">
        <v>1</v>
      </c>
      <c r="C3" s="13" t="s">
        <v>17</v>
      </c>
      <c r="D3" s="12" t="s">
        <v>66</v>
      </c>
      <c r="E3" s="12" t="s">
        <v>98</v>
      </c>
      <c r="F3" s="5" t="n">
        <v>184663129</v>
      </c>
      <c r="G3" s="12" t="s">
        <v>66</v>
      </c>
      <c r="H3" s="12" t="s">
        <v>98</v>
      </c>
      <c r="I3" s="13" t="s">
        <v>99</v>
      </c>
      <c r="J3" s="13" t="s">
        <v>97</v>
      </c>
      <c r="K3" s="5" t="n">
        <v>184663129</v>
      </c>
      <c r="L3" s="5" t="n">
        <f aca="false">N(F3)-N(K3)</f>
        <v>0</v>
      </c>
      <c r="M3" s="25" t="str">
        <f aca="false">IF(F3="","미션에만",IF(K3="","원장에만",IF(L3=0,"일치","금액차이")))</f>
        <v>일치</v>
      </c>
      <c r="N3" s="12"/>
    </row>
    <row r="4" customFormat="false" ht="15" hidden="false" customHeight="false" outlineLevel="0" collapsed="false">
      <c r="A4" s="12" t="n">
        <v>2025</v>
      </c>
      <c r="B4" s="12" t="n">
        <v>1</v>
      </c>
      <c r="C4" s="13" t="s">
        <v>17</v>
      </c>
      <c r="D4" s="12" t="s">
        <v>66</v>
      </c>
      <c r="E4" s="12" t="s">
        <v>100</v>
      </c>
      <c r="F4" s="5" t="n">
        <v>4125000</v>
      </c>
      <c r="G4" s="12" t="s">
        <v>66</v>
      </c>
      <c r="H4" s="12" t="s">
        <v>101</v>
      </c>
      <c r="I4" s="13" t="s">
        <v>99</v>
      </c>
      <c r="J4" s="13" t="s">
        <v>97</v>
      </c>
      <c r="K4" s="5" t="n">
        <v>4125000</v>
      </c>
      <c r="L4" s="5" t="n">
        <f aca="false">N(F4)-N(K4)</f>
        <v>0</v>
      </c>
      <c r="M4" s="25" t="str">
        <f aca="false">IF(F4="","미션에만",IF(K4="","원장에만",IF(L4=0,"일치","금액차이")))</f>
        <v>일치</v>
      </c>
      <c r="N4" s="12"/>
    </row>
    <row r="5" customFormat="false" ht="15" hidden="false" customHeight="false" outlineLevel="0" collapsed="false">
      <c r="A5" s="12" t="n">
        <v>2025</v>
      </c>
      <c r="B5" s="12" t="n">
        <v>2</v>
      </c>
      <c r="C5" s="13" t="s">
        <v>17</v>
      </c>
      <c r="D5" s="12" t="s">
        <v>77</v>
      </c>
      <c r="E5" s="12" t="s">
        <v>102</v>
      </c>
      <c r="F5" s="5" t="n">
        <v>94994956</v>
      </c>
      <c r="G5" s="12" t="s">
        <v>77</v>
      </c>
      <c r="H5" s="12" t="s">
        <v>102</v>
      </c>
      <c r="I5" s="13" t="s">
        <v>99</v>
      </c>
      <c r="J5" s="13" t="s">
        <v>97</v>
      </c>
      <c r="K5" s="5" t="n">
        <v>94994956</v>
      </c>
      <c r="L5" s="5" t="n">
        <f aca="false">N(F5)-N(K5)</f>
        <v>0</v>
      </c>
      <c r="M5" s="25" t="str">
        <f aca="false">IF(F5="","미션에만",IF(K5="","원장에만",IF(L5=0,"일치","금액차이")))</f>
        <v>일치</v>
      </c>
      <c r="N5" s="12"/>
    </row>
    <row r="6" customFormat="false" ht="15" hidden="false" customHeight="false" outlineLevel="0" collapsed="false">
      <c r="A6" s="12" t="n">
        <v>2025</v>
      </c>
      <c r="B6" s="12" t="n">
        <v>2</v>
      </c>
      <c r="C6" s="13" t="s">
        <v>17</v>
      </c>
      <c r="D6" s="12" t="s">
        <v>77</v>
      </c>
      <c r="E6" s="12" t="s">
        <v>103</v>
      </c>
      <c r="F6" s="5" t="n">
        <v>2006400</v>
      </c>
      <c r="G6" s="12" t="s">
        <v>77</v>
      </c>
      <c r="H6" s="12" t="s">
        <v>95</v>
      </c>
      <c r="I6" s="13" t="s">
        <v>96</v>
      </c>
      <c r="J6" s="13" t="s">
        <v>97</v>
      </c>
      <c r="K6" s="5" t="n">
        <v>2006400</v>
      </c>
      <c r="L6" s="5" t="n">
        <f aca="false">N(F6)-N(K6)</f>
        <v>0</v>
      </c>
      <c r="M6" s="25" t="str">
        <f aca="false">IF(F6="","미션에만",IF(K6="","원장에만",IF(L6=0,"일치","금액차이")))</f>
        <v>일치</v>
      </c>
      <c r="N6" s="12"/>
    </row>
    <row r="7" customFormat="false" ht="15" hidden="false" customHeight="false" outlineLevel="0" collapsed="false">
      <c r="A7" s="12" t="n">
        <v>2025</v>
      </c>
      <c r="B7" s="12" t="n">
        <v>2</v>
      </c>
      <c r="C7" s="13" t="s">
        <v>17</v>
      </c>
      <c r="D7" s="12" t="s">
        <v>77</v>
      </c>
      <c r="E7" s="12" t="s">
        <v>100</v>
      </c>
      <c r="F7" s="5" t="n">
        <v>4125000</v>
      </c>
      <c r="G7" s="12" t="s">
        <v>77</v>
      </c>
      <c r="H7" s="12" t="s">
        <v>101</v>
      </c>
      <c r="I7" s="13" t="s">
        <v>99</v>
      </c>
      <c r="J7" s="13" t="s">
        <v>97</v>
      </c>
      <c r="K7" s="5" t="n">
        <v>4125000</v>
      </c>
      <c r="L7" s="5" t="n">
        <f aca="false">N(F7)-N(K7)</f>
        <v>0</v>
      </c>
      <c r="M7" s="25" t="str">
        <f aca="false">IF(F7="","미션에만",IF(K7="","원장에만",IF(L7=0,"일치","금액차이")))</f>
        <v>일치</v>
      </c>
      <c r="N7" s="12"/>
    </row>
    <row r="8" customFormat="false" ht="15" hidden="false" customHeight="false" outlineLevel="0" collapsed="false">
      <c r="A8" s="12" t="n">
        <v>2025</v>
      </c>
      <c r="B8" s="12" t="n">
        <v>3</v>
      </c>
      <c r="C8" s="13" t="s">
        <v>17</v>
      </c>
      <c r="D8" s="12" t="s">
        <v>104</v>
      </c>
      <c r="E8" s="12" t="s">
        <v>100</v>
      </c>
      <c r="F8" s="5" t="n">
        <v>4125000</v>
      </c>
      <c r="G8" s="12" t="s">
        <v>104</v>
      </c>
      <c r="H8" s="12" t="s">
        <v>101</v>
      </c>
      <c r="I8" s="13" t="s">
        <v>99</v>
      </c>
      <c r="J8" s="13" t="s">
        <v>97</v>
      </c>
      <c r="K8" s="5" t="n">
        <v>4125000</v>
      </c>
      <c r="L8" s="5" t="n">
        <f aca="false">N(F8)-N(K8)</f>
        <v>0</v>
      </c>
      <c r="M8" s="25" t="str">
        <f aca="false">IF(F8="","미션에만",IF(K8="","원장에만",IF(L8=0,"일치","금액차이")))</f>
        <v>일치</v>
      </c>
      <c r="N8" s="12"/>
    </row>
    <row r="9" customFormat="false" ht="15" hidden="false" customHeight="false" outlineLevel="0" collapsed="false">
      <c r="A9" s="12" t="n">
        <v>2025</v>
      </c>
      <c r="B9" s="12" t="n">
        <v>3</v>
      </c>
      <c r="C9" s="13" t="s">
        <v>17</v>
      </c>
      <c r="D9" s="12" t="s">
        <v>104</v>
      </c>
      <c r="E9" s="12" t="s">
        <v>105</v>
      </c>
      <c r="F9" s="5" t="n">
        <v>-4125000</v>
      </c>
      <c r="G9" s="12" t="s">
        <v>104</v>
      </c>
      <c r="H9" s="12" t="s">
        <v>101</v>
      </c>
      <c r="I9" s="13" t="s">
        <v>99</v>
      </c>
      <c r="J9" s="13" t="s">
        <v>97</v>
      </c>
      <c r="K9" s="5" t="n">
        <v>-4125000</v>
      </c>
      <c r="L9" s="5" t="n">
        <f aca="false">N(F9)-N(K9)</f>
        <v>0</v>
      </c>
      <c r="M9" s="25" t="str">
        <f aca="false">IF(F9="","미션에만",IF(K9="","원장에만",IF(L9=0,"일치","금액차이")))</f>
        <v>일치</v>
      </c>
      <c r="N9" s="12"/>
    </row>
    <row r="10" customFormat="false" ht="15" hidden="false" customHeight="false" outlineLevel="0" collapsed="false">
      <c r="A10" s="26" t="n">
        <v>2025</v>
      </c>
      <c r="B10" s="26" t="n">
        <v>3</v>
      </c>
      <c r="C10" s="27" t="s">
        <v>17</v>
      </c>
      <c r="D10" s="26" t="s">
        <v>106</v>
      </c>
      <c r="E10" s="27" t="s">
        <v>107</v>
      </c>
      <c r="F10" s="28" t="n">
        <v>850450</v>
      </c>
      <c r="G10" s="26"/>
      <c r="H10" s="26"/>
      <c r="I10" s="26"/>
      <c r="J10" s="26"/>
      <c r="K10" s="28"/>
      <c r="L10" s="28" t="n">
        <f aca="false">N(F10)-N(K10)</f>
        <v>850450</v>
      </c>
      <c r="M10" s="29" t="str">
        <f aca="false">IF(F10="","미션에만",IF(K10="","원장에만",IF(L10=0,"일치","금액차이")))</f>
        <v>원장에만</v>
      </c>
      <c r="N10" s="27" t="s">
        <v>108</v>
      </c>
    </row>
    <row r="11" customFormat="false" ht="15" hidden="false" customHeight="false" outlineLevel="0" collapsed="false">
      <c r="A11" s="30" t="n">
        <v>2025</v>
      </c>
      <c r="B11" s="30" t="n">
        <v>3</v>
      </c>
      <c r="C11" s="31" t="s">
        <v>17</v>
      </c>
      <c r="D11" s="30" t="s">
        <v>57</v>
      </c>
      <c r="E11" s="30" t="s">
        <v>109</v>
      </c>
      <c r="F11" s="32" t="n">
        <v>3222400</v>
      </c>
      <c r="G11" s="30" t="s">
        <v>57</v>
      </c>
      <c r="H11" s="30" t="s">
        <v>110</v>
      </c>
      <c r="I11" s="31" t="s">
        <v>96</v>
      </c>
      <c r="J11" s="31" t="s">
        <v>97</v>
      </c>
      <c r="K11" s="32" t="n">
        <v>3222400</v>
      </c>
      <c r="L11" s="32" t="n">
        <f aca="false">N(F11)-N(K11)</f>
        <v>0</v>
      </c>
      <c r="M11" s="33" t="str">
        <f aca="false">IF(F11="","미션에만",IF(K11="","원장에만",IF(L11=0,"일치","금액차이")))</f>
        <v>일치</v>
      </c>
      <c r="N11" s="31" t="s">
        <v>111</v>
      </c>
    </row>
    <row r="12" customFormat="false" ht="15" hidden="false" customHeight="false" outlineLevel="0" collapsed="false">
      <c r="A12" s="12" t="n">
        <v>2025</v>
      </c>
      <c r="B12" s="12" t="n">
        <v>3</v>
      </c>
      <c r="C12" s="13" t="s">
        <v>17</v>
      </c>
      <c r="D12" s="12" t="s">
        <v>57</v>
      </c>
      <c r="E12" s="12" t="s">
        <v>100</v>
      </c>
      <c r="F12" s="5" t="n">
        <v>4125000</v>
      </c>
      <c r="G12" s="12" t="s">
        <v>57</v>
      </c>
      <c r="H12" s="12" t="s">
        <v>101</v>
      </c>
      <c r="I12" s="13" t="s">
        <v>99</v>
      </c>
      <c r="J12" s="13" t="s">
        <v>97</v>
      </c>
      <c r="K12" s="5" t="n">
        <v>4125000</v>
      </c>
      <c r="L12" s="5" t="n">
        <f aca="false">N(F12)-N(K12)</f>
        <v>0</v>
      </c>
      <c r="M12" s="25" t="str">
        <f aca="false">IF(F12="","미션에만",IF(K12="","원장에만",IF(L12=0,"일치","금액차이")))</f>
        <v>일치</v>
      </c>
      <c r="N12" s="12"/>
    </row>
    <row r="13" customFormat="false" ht="15" hidden="false" customHeight="false" outlineLevel="0" collapsed="false">
      <c r="A13" s="12" t="n">
        <v>2025</v>
      </c>
      <c r="B13" s="12" t="n">
        <v>3</v>
      </c>
      <c r="C13" s="13" t="s">
        <v>17</v>
      </c>
      <c r="D13" s="12" t="s">
        <v>57</v>
      </c>
      <c r="E13" s="12" t="s">
        <v>112</v>
      </c>
      <c r="F13" s="5" t="n">
        <v>77035897</v>
      </c>
      <c r="G13" s="12" t="s">
        <v>57</v>
      </c>
      <c r="H13" s="12" t="s">
        <v>112</v>
      </c>
      <c r="I13" s="13" t="s">
        <v>99</v>
      </c>
      <c r="J13" s="13" t="s">
        <v>97</v>
      </c>
      <c r="K13" s="5" t="n">
        <v>77035897</v>
      </c>
      <c r="L13" s="5" t="n">
        <f aca="false">N(F13)-N(K13)</f>
        <v>0</v>
      </c>
      <c r="M13" s="25" t="str">
        <f aca="false">IF(F13="","미션에만",IF(K13="","원장에만",IF(L13=0,"일치","금액차이")))</f>
        <v>일치</v>
      </c>
      <c r="N13" s="12"/>
    </row>
    <row r="14" customFormat="false" ht="15" hidden="false" customHeight="false" outlineLevel="0" collapsed="false">
      <c r="A14" s="30" t="n">
        <v>2025</v>
      </c>
      <c r="B14" s="30" t="n">
        <v>4</v>
      </c>
      <c r="C14" s="31" t="s">
        <v>17</v>
      </c>
      <c r="D14" s="30" t="s">
        <v>113</v>
      </c>
      <c r="E14" s="30" t="s">
        <v>100</v>
      </c>
      <c r="F14" s="32" t="n">
        <v>4125000</v>
      </c>
      <c r="G14" s="30" t="s">
        <v>113</v>
      </c>
      <c r="H14" s="30" t="s">
        <v>101</v>
      </c>
      <c r="I14" s="31" t="s">
        <v>99</v>
      </c>
      <c r="J14" s="30" t="s">
        <v>114</v>
      </c>
      <c r="K14" s="32" t="n">
        <v>4125000</v>
      </c>
      <c r="L14" s="32" t="n">
        <f aca="false">N(F14)-N(K14)</f>
        <v>0</v>
      </c>
      <c r="M14" s="33" t="str">
        <f aca="false">IF(F14="","미션에만",IF(K14="","원장에만",IF(L14=0,"일치","금액차이")))</f>
        <v>일치</v>
      </c>
      <c r="N14" s="31" t="s">
        <v>115</v>
      </c>
    </row>
    <row r="15" customFormat="false" ht="15" hidden="false" customHeight="false" outlineLevel="0" collapsed="false">
      <c r="A15" s="30" t="n">
        <v>2025</v>
      </c>
      <c r="B15" s="30" t="n">
        <v>4</v>
      </c>
      <c r="C15" s="31" t="s">
        <v>17</v>
      </c>
      <c r="D15" s="30" t="s">
        <v>113</v>
      </c>
      <c r="E15" s="30" t="s">
        <v>105</v>
      </c>
      <c r="F15" s="32" t="n">
        <v>-4125000</v>
      </c>
      <c r="G15" s="30" t="s">
        <v>113</v>
      </c>
      <c r="H15" s="30" t="s">
        <v>101</v>
      </c>
      <c r="I15" s="31" t="s">
        <v>99</v>
      </c>
      <c r="J15" s="30" t="s">
        <v>114</v>
      </c>
      <c r="K15" s="32" t="n">
        <v>-4125000</v>
      </c>
      <c r="L15" s="32" t="n">
        <f aca="false">N(F15)-N(K15)</f>
        <v>0</v>
      </c>
      <c r="M15" s="33" t="str">
        <f aca="false">IF(F15="","미션에만",IF(K15="","원장에만",IF(L15=0,"일치","금액차이")))</f>
        <v>일치</v>
      </c>
      <c r="N15" s="31" t="s">
        <v>115</v>
      </c>
    </row>
    <row r="16" customFormat="false" ht="15" hidden="false" customHeight="false" outlineLevel="0" collapsed="false">
      <c r="A16" s="12" t="n">
        <v>2025</v>
      </c>
      <c r="B16" s="12" t="n">
        <v>4</v>
      </c>
      <c r="C16" s="13" t="s">
        <v>17</v>
      </c>
      <c r="D16" s="12" t="s">
        <v>116</v>
      </c>
      <c r="E16" s="13" t="s">
        <v>117</v>
      </c>
      <c r="F16" s="5" t="n">
        <v>5067392</v>
      </c>
      <c r="G16" s="12" t="s">
        <v>116</v>
      </c>
      <c r="H16" s="13" t="s">
        <v>117</v>
      </c>
      <c r="I16" s="13" t="s">
        <v>99</v>
      </c>
      <c r="J16" s="13" t="s">
        <v>97</v>
      </c>
      <c r="K16" s="5" t="n">
        <v>5067392</v>
      </c>
      <c r="L16" s="5" t="n">
        <f aca="false">N(F16)-N(K16)</f>
        <v>0</v>
      </c>
      <c r="M16" s="25" t="str">
        <f aca="false">IF(F16="","미션에만",IF(K16="","원장에만",IF(L16=0,"일치","금액차이")))</f>
        <v>일치</v>
      </c>
      <c r="N16" s="12"/>
    </row>
    <row r="17" customFormat="false" ht="15" hidden="false" customHeight="false" outlineLevel="0" collapsed="false">
      <c r="A17" s="12" t="n">
        <v>2025</v>
      </c>
      <c r="B17" s="12" t="n">
        <v>4</v>
      </c>
      <c r="C17" s="13" t="s">
        <v>17</v>
      </c>
      <c r="D17" s="12" t="s">
        <v>116</v>
      </c>
      <c r="E17" s="13" t="s">
        <v>118</v>
      </c>
      <c r="F17" s="5" t="n">
        <v>611190</v>
      </c>
      <c r="G17" s="12" t="s">
        <v>116</v>
      </c>
      <c r="H17" s="13" t="s">
        <v>118</v>
      </c>
      <c r="I17" s="13" t="s">
        <v>99</v>
      </c>
      <c r="J17" s="13" t="s">
        <v>97</v>
      </c>
      <c r="K17" s="5" t="n">
        <v>611190</v>
      </c>
      <c r="L17" s="5" t="n">
        <f aca="false">N(F17)-N(K17)</f>
        <v>0</v>
      </c>
      <c r="M17" s="25" t="str">
        <f aca="false">IF(F17="","미션에만",IF(K17="","원장에만",IF(L17=0,"일치","금액차이")))</f>
        <v>일치</v>
      </c>
      <c r="N17" s="12"/>
    </row>
    <row r="18" customFormat="false" ht="15" hidden="false" customHeight="false" outlineLevel="0" collapsed="false">
      <c r="A18" s="30" t="n">
        <v>2025</v>
      </c>
      <c r="B18" s="30" t="n">
        <v>4</v>
      </c>
      <c r="C18" s="31" t="s">
        <v>17</v>
      </c>
      <c r="D18" s="30" t="s">
        <v>119</v>
      </c>
      <c r="E18" s="30" t="s">
        <v>100</v>
      </c>
      <c r="F18" s="32" t="n">
        <v>4125000</v>
      </c>
      <c r="G18" s="30" t="s">
        <v>119</v>
      </c>
      <c r="H18" s="30" t="s">
        <v>101</v>
      </c>
      <c r="I18" s="31" t="s">
        <v>99</v>
      </c>
      <c r="J18" s="30" t="s">
        <v>114</v>
      </c>
      <c r="K18" s="32" t="n">
        <v>4125000</v>
      </c>
      <c r="L18" s="32" t="n">
        <f aca="false">N(F18)-N(K18)</f>
        <v>0</v>
      </c>
      <c r="M18" s="33" t="str">
        <f aca="false">IF(F18="","미션에만",IF(K18="","원장에만",IF(L18=0,"일치","금액차이")))</f>
        <v>일치</v>
      </c>
      <c r="N18" s="31" t="s">
        <v>115</v>
      </c>
    </row>
    <row r="19" customFormat="false" ht="15" hidden="false" customHeight="false" outlineLevel="0" collapsed="false">
      <c r="A19" s="12" t="n">
        <v>2025</v>
      </c>
      <c r="B19" s="12" t="n">
        <v>4</v>
      </c>
      <c r="C19" s="13" t="s">
        <v>17</v>
      </c>
      <c r="D19" s="12" t="s">
        <v>119</v>
      </c>
      <c r="E19" s="12" t="s">
        <v>120</v>
      </c>
      <c r="F19" s="5" t="n">
        <v>178105869</v>
      </c>
      <c r="G19" s="12" t="s">
        <v>119</v>
      </c>
      <c r="H19" s="12" t="s">
        <v>120</v>
      </c>
      <c r="I19" s="13" t="s">
        <v>99</v>
      </c>
      <c r="J19" s="13" t="s">
        <v>97</v>
      </c>
      <c r="K19" s="5" t="n">
        <v>178105869</v>
      </c>
      <c r="L19" s="5" t="n">
        <f aca="false">N(F19)-N(K19)</f>
        <v>0</v>
      </c>
      <c r="M19" s="25" t="str">
        <f aca="false">IF(F19="","미션에만",IF(K19="","원장에만",IF(L19=0,"일치","금액차이")))</f>
        <v>일치</v>
      </c>
      <c r="N19" s="12"/>
    </row>
    <row r="20" customFormat="false" ht="15" hidden="false" customHeight="false" outlineLevel="0" collapsed="false">
      <c r="A20" s="12" t="n">
        <v>2025</v>
      </c>
      <c r="B20" s="12" t="n">
        <v>4</v>
      </c>
      <c r="C20" s="13" t="s">
        <v>17</v>
      </c>
      <c r="D20" s="12" t="s">
        <v>119</v>
      </c>
      <c r="E20" s="12" t="s">
        <v>103</v>
      </c>
      <c r="F20" s="5" t="n">
        <v>3184400</v>
      </c>
      <c r="G20" s="12" t="s">
        <v>119</v>
      </c>
      <c r="H20" s="12" t="s">
        <v>95</v>
      </c>
      <c r="I20" s="13" t="s">
        <v>96</v>
      </c>
      <c r="J20" s="13" t="s">
        <v>97</v>
      </c>
      <c r="K20" s="5" t="n">
        <v>3184400</v>
      </c>
      <c r="L20" s="5" t="n">
        <f aca="false">N(F20)-N(K20)</f>
        <v>0</v>
      </c>
      <c r="M20" s="25" t="str">
        <f aca="false">IF(F20="","미션에만",IF(K20="","원장에만",IF(L20=0,"일치","금액차이")))</f>
        <v>일치</v>
      </c>
      <c r="N20" s="12"/>
    </row>
    <row r="21" customFormat="false" ht="15" hidden="false" customHeight="false" outlineLevel="0" collapsed="false">
      <c r="A21" s="12" t="n">
        <v>2025</v>
      </c>
      <c r="B21" s="12" t="n">
        <v>5</v>
      </c>
      <c r="C21" s="13" t="s">
        <v>17</v>
      </c>
      <c r="D21" s="12" t="s">
        <v>121</v>
      </c>
      <c r="E21" s="13" t="s">
        <v>122</v>
      </c>
      <c r="F21" s="5" t="n">
        <v>4125000</v>
      </c>
      <c r="G21" s="12" t="s">
        <v>121</v>
      </c>
      <c r="H21" s="13" t="s">
        <v>123</v>
      </c>
      <c r="I21" s="13" t="s">
        <v>99</v>
      </c>
      <c r="J21" s="13" t="s">
        <v>97</v>
      </c>
      <c r="K21" s="5" t="n">
        <v>4125000</v>
      </c>
      <c r="L21" s="5" t="n">
        <f aca="false">N(F21)-N(K21)</f>
        <v>0</v>
      </c>
      <c r="M21" s="25" t="str">
        <f aca="false">IF(F21="","미션에만",IF(K21="","원장에만",IF(L21=0,"일치","금액차이")))</f>
        <v>일치</v>
      </c>
      <c r="N21" s="12"/>
    </row>
    <row r="22" customFormat="false" ht="15" hidden="false" customHeight="false" outlineLevel="0" collapsed="false">
      <c r="A22" s="12" t="n">
        <v>2025</v>
      </c>
      <c r="B22" s="12" t="n">
        <v>5</v>
      </c>
      <c r="C22" s="13" t="s">
        <v>17</v>
      </c>
      <c r="D22" s="12" t="s">
        <v>121</v>
      </c>
      <c r="E22" s="12" t="s">
        <v>124</v>
      </c>
      <c r="F22" s="5" t="n">
        <v>177074496</v>
      </c>
      <c r="G22" s="12" t="s">
        <v>121</v>
      </c>
      <c r="H22" s="12" t="s">
        <v>124</v>
      </c>
      <c r="I22" s="13" t="s">
        <v>99</v>
      </c>
      <c r="J22" s="13" t="s">
        <v>97</v>
      </c>
      <c r="K22" s="5" t="n">
        <v>177074496</v>
      </c>
      <c r="L22" s="5" t="n">
        <f aca="false">N(F22)-N(K22)</f>
        <v>0</v>
      </c>
      <c r="M22" s="25" t="str">
        <f aca="false">IF(F22="","미션에만",IF(K22="","원장에만",IF(L22=0,"일치","금액차이")))</f>
        <v>일치</v>
      </c>
      <c r="N22" s="12"/>
    </row>
    <row r="23" customFormat="false" ht="15" hidden="false" customHeight="false" outlineLevel="0" collapsed="false">
      <c r="A23" s="12" t="n">
        <v>2025</v>
      </c>
      <c r="B23" s="12" t="n">
        <v>5</v>
      </c>
      <c r="C23" s="13" t="s">
        <v>17</v>
      </c>
      <c r="D23" s="12" t="s">
        <v>121</v>
      </c>
      <c r="E23" s="12" t="s">
        <v>125</v>
      </c>
      <c r="F23" s="5" t="n">
        <v>1649200</v>
      </c>
      <c r="G23" s="12" t="s">
        <v>121</v>
      </c>
      <c r="H23" s="12" t="s">
        <v>110</v>
      </c>
      <c r="I23" s="13" t="s">
        <v>96</v>
      </c>
      <c r="J23" s="13" t="s">
        <v>97</v>
      </c>
      <c r="K23" s="5" t="n">
        <v>1649200</v>
      </c>
      <c r="L23" s="5" t="n">
        <f aca="false">N(F23)-N(K23)</f>
        <v>0</v>
      </c>
      <c r="M23" s="25" t="str">
        <f aca="false">IF(F23="","미션에만",IF(K23="","원장에만",IF(L23=0,"일치","금액차이")))</f>
        <v>일치</v>
      </c>
      <c r="N23" s="12"/>
    </row>
    <row r="24" customFormat="false" ht="15" hidden="false" customHeight="false" outlineLevel="0" collapsed="false">
      <c r="A24" s="12" t="n">
        <v>2025</v>
      </c>
      <c r="B24" s="12" t="n">
        <v>6</v>
      </c>
      <c r="C24" s="13" t="s">
        <v>17</v>
      </c>
      <c r="D24" s="12" t="s">
        <v>126</v>
      </c>
      <c r="E24" s="13" t="s">
        <v>127</v>
      </c>
      <c r="F24" s="5" t="n">
        <v>1866731</v>
      </c>
      <c r="G24" s="12" t="s">
        <v>126</v>
      </c>
      <c r="H24" s="13" t="s">
        <v>128</v>
      </c>
      <c r="I24" s="13" t="s">
        <v>99</v>
      </c>
      <c r="J24" s="13" t="s">
        <v>97</v>
      </c>
      <c r="K24" s="5" t="n">
        <v>1866731</v>
      </c>
      <c r="L24" s="5" t="n">
        <f aca="false">N(F24)-N(K24)</f>
        <v>0</v>
      </c>
      <c r="M24" s="25" t="str">
        <f aca="false">IF(F24="","미션에만",IF(K24="","원장에만",IF(L24=0,"일치","금액차이")))</f>
        <v>일치</v>
      </c>
      <c r="N24" s="12"/>
    </row>
    <row r="25" customFormat="false" ht="15" hidden="false" customHeight="false" outlineLevel="0" collapsed="false">
      <c r="A25" s="12" t="n">
        <v>2025</v>
      </c>
      <c r="B25" s="12" t="n">
        <v>6</v>
      </c>
      <c r="C25" s="13" t="s">
        <v>17</v>
      </c>
      <c r="D25" s="12" t="s">
        <v>126</v>
      </c>
      <c r="E25" s="13" t="s">
        <v>129</v>
      </c>
      <c r="F25" s="5" t="n">
        <v>15059305</v>
      </c>
      <c r="G25" s="12" t="s">
        <v>126</v>
      </c>
      <c r="H25" s="13" t="s">
        <v>130</v>
      </c>
      <c r="I25" s="13" t="s">
        <v>99</v>
      </c>
      <c r="J25" s="13" t="s">
        <v>97</v>
      </c>
      <c r="K25" s="5" t="n">
        <v>15059305</v>
      </c>
      <c r="L25" s="5" t="n">
        <f aca="false">N(F25)-N(K25)</f>
        <v>0</v>
      </c>
      <c r="M25" s="25" t="str">
        <f aca="false">IF(F25="","미션에만",IF(K25="","원장에만",IF(L25=0,"일치","금액차이")))</f>
        <v>일치</v>
      </c>
      <c r="N25" s="12"/>
    </row>
    <row r="26" customFormat="false" ht="15" hidden="false" customHeight="false" outlineLevel="0" collapsed="false">
      <c r="A26" s="12" t="n">
        <v>2025</v>
      </c>
      <c r="B26" s="12" t="n">
        <v>6</v>
      </c>
      <c r="C26" s="13" t="s">
        <v>17</v>
      </c>
      <c r="D26" s="12" t="s">
        <v>126</v>
      </c>
      <c r="E26" s="13" t="s">
        <v>131</v>
      </c>
      <c r="F26" s="5" t="n">
        <v>-15059305</v>
      </c>
      <c r="G26" s="12" t="s">
        <v>126</v>
      </c>
      <c r="H26" s="13" t="s">
        <v>130</v>
      </c>
      <c r="I26" s="13" t="s">
        <v>99</v>
      </c>
      <c r="J26" s="13" t="s">
        <v>97</v>
      </c>
      <c r="K26" s="5" t="n">
        <v>-15059305</v>
      </c>
      <c r="L26" s="5" t="n">
        <f aca="false">N(F26)-N(K26)</f>
        <v>0</v>
      </c>
      <c r="M26" s="25" t="str">
        <f aca="false">IF(F26="","미션에만",IF(K26="","원장에만",IF(L26=0,"일치","금액차이")))</f>
        <v>일치</v>
      </c>
      <c r="N26" s="12"/>
    </row>
    <row r="27" customFormat="false" ht="15" hidden="false" customHeight="false" outlineLevel="0" collapsed="false">
      <c r="A27" s="12" t="n">
        <v>2025</v>
      </c>
      <c r="B27" s="12" t="n">
        <v>6</v>
      </c>
      <c r="C27" s="13" t="s">
        <v>17</v>
      </c>
      <c r="D27" s="12" t="s">
        <v>126</v>
      </c>
      <c r="E27" s="13" t="s">
        <v>132</v>
      </c>
      <c r="F27" s="5" t="n">
        <v>13690277</v>
      </c>
      <c r="G27" s="12" t="s">
        <v>126</v>
      </c>
      <c r="H27" s="13" t="s">
        <v>132</v>
      </c>
      <c r="I27" s="13" t="s">
        <v>96</v>
      </c>
      <c r="J27" s="13" t="s">
        <v>97</v>
      </c>
      <c r="K27" s="5" t="n">
        <v>13690277</v>
      </c>
      <c r="L27" s="5" t="n">
        <f aca="false">N(F27)-N(K27)</f>
        <v>0</v>
      </c>
      <c r="M27" s="25" t="str">
        <f aca="false">IF(F27="","미션에만",IF(K27="","원장에만",IF(L27=0,"일치","금액차이")))</f>
        <v>일치</v>
      </c>
      <c r="N27" s="12"/>
    </row>
    <row r="28" customFormat="false" ht="15" hidden="false" customHeight="false" outlineLevel="0" collapsed="false">
      <c r="A28" s="12" t="n">
        <v>2025</v>
      </c>
      <c r="B28" s="12" t="n">
        <v>6</v>
      </c>
      <c r="C28" s="13" t="s">
        <v>17</v>
      </c>
      <c r="D28" s="12" t="s">
        <v>133</v>
      </c>
      <c r="E28" s="12" t="s">
        <v>134</v>
      </c>
      <c r="F28" s="5" t="n">
        <v>3647730</v>
      </c>
      <c r="G28" s="12" t="s">
        <v>133</v>
      </c>
      <c r="H28" s="12" t="s">
        <v>110</v>
      </c>
      <c r="I28" s="13" t="s">
        <v>96</v>
      </c>
      <c r="J28" s="13" t="s">
        <v>97</v>
      </c>
      <c r="K28" s="5" t="n">
        <v>3647730</v>
      </c>
      <c r="L28" s="5" t="n">
        <f aca="false">N(F28)-N(K28)</f>
        <v>0</v>
      </c>
      <c r="M28" s="25" t="str">
        <f aca="false">IF(F28="","미션에만",IF(K28="","원장에만",IF(L28=0,"일치","금액차이")))</f>
        <v>일치</v>
      </c>
      <c r="N28" s="12"/>
    </row>
    <row r="29" customFormat="false" ht="15" hidden="false" customHeight="false" outlineLevel="0" collapsed="false">
      <c r="A29" s="12" t="n">
        <v>2025</v>
      </c>
      <c r="B29" s="12" t="n">
        <v>6</v>
      </c>
      <c r="C29" s="13" t="s">
        <v>17</v>
      </c>
      <c r="D29" s="12" t="s">
        <v>133</v>
      </c>
      <c r="E29" s="13" t="s">
        <v>122</v>
      </c>
      <c r="F29" s="5" t="n">
        <v>4125000</v>
      </c>
      <c r="G29" s="12" t="s">
        <v>133</v>
      </c>
      <c r="H29" s="13" t="s">
        <v>123</v>
      </c>
      <c r="I29" s="13" t="s">
        <v>99</v>
      </c>
      <c r="J29" s="13" t="s">
        <v>97</v>
      </c>
      <c r="K29" s="5" t="n">
        <v>4125000</v>
      </c>
      <c r="L29" s="5" t="n">
        <f aca="false">N(F29)-N(K29)</f>
        <v>0</v>
      </c>
      <c r="M29" s="25" t="str">
        <f aca="false">IF(F29="","미션에만",IF(K29="","원장에만",IF(L29=0,"일치","금액차이")))</f>
        <v>일치</v>
      </c>
      <c r="N29" s="12"/>
    </row>
    <row r="30" customFormat="false" ht="15" hidden="false" customHeight="false" outlineLevel="0" collapsed="false">
      <c r="A30" s="12" t="n">
        <v>2025</v>
      </c>
      <c r="B30" s="12" t="n">
        <v>6</v>
      </c>
      <c r="C30" s="13" t="s">
        <v>17</v>
      </c>
      <c r="D30" s="12" t="s">
        <v>133</v>
      </c>
      <c r="E30" s="12" t="s">
        <v>135</v>
      </c>
      <c r="F30" s="5" t="n">
        <v>170193463</v>
      </c>
      <c r="G30" s="12" t="s">
        <v>133</v>
      </c>
      <c r="H30" s="12" t="s">
        <v>135</v>
      </c>
      <c r="I30" s="13" t="s">
        <v>99</v>
      </c>
      <c r="J30" s="13" t="s">
        <v>97</v>
      </c>
      <c r="K30" s="5" t="n">
        <v>170193463</v>
      </c>
      <c r="L30" s="5" t="n">
        <f aca="false">N(F30)-N(K30)</f>
        <v>0</v>
      </c>
      <c r="M30" s="25" t="str">
        <f aca="false">IF(F30="","미션에만",IF(K30="","원장에만",IF(L30=0,"일치","금액차이")))</f>
        <v>일치</v>
      </c>
      <c r="N30" s="12"/>
    </row>
    <row r="31" customFormat="false" ht="15" hidden="false" customHeight="false" outlineLevel="0" collapsed="false">
      <c r="A31" s="12" t="n">
        <v>2025</v>
      </c>
      <c r="B31" s="12" t="n">
        <v>7</v>
      </c>
      <c r="C31" s="13" t="s">
        <v>17</v>
      </c>
      <c r="D31" s="12" t="s">
        <v>136</v>
      </c>
      <c r="E31" s="13" t="s">
        <v>137</v>
      </c>
      <c r="F31" s="5" t="n">
        <v>414156</v>
      </c>
      <c r="G31" s="12" t="s">
        <v>136</v>
      </c>
      <c r="H31" s="13" t="s">
        <v>128</v>
      </c>
      <c r="I31" s="13" t="s">
        <v>99</v>
      </c>
      <c r="J31" s="13" t="s">
        <v>97</v>
      </c>
      <c r="K31" s="5" t="n">
        <v>414156</v>
      </c>
      <c r="L31" s="5" t="n">
        <f aca="false">N(F31)-N(K31)</f>
        <v>0</v>
      </c>
      <c r="M31" s="25" t="str">
        <f aca="false">IF(F31="","미션에만",IF(K31="","원장에만",IF(L31=0,"일치","금액차이")))</f>
        <v>일치</v>
      </c>
      <c r="N31" s="12"/>
    </row>
    <row r="32" customFormat="false" ht="15" hidden="false" customHeight="false" outlineLevel="0" collapsed="false">
      <c r="A32" s="12" t="n">
        <v>2025</v>
      </c>
      <c r="B32" s="12" t="n">
        <v>7</v>
      </c>
      <c r="C32" s="13" t="s">
        <v>17</v>
      </c>
      <c r="D32" s="12" t="s">
        <v>136</v>
      </c>
      <c r="E32" s="13" t="s">
        <v>138</v>
      </c>
      <c r="F32" s="5" t="n">
        <v>2402400</v>
      </c>
      <c r="G32" s="12" t="s">
        <v>136</v>
      </c>
      <c r="H32" s="13" t="s">
        <v>130</v>
      </c>
      <c r="I32" s="13" t="s">
        <v>96</v>
      </c>
      <c r="J32" s="13" t="s">
        <v>97</v>
      </c>
      <c r="K32" s="5" t="n">
        <v>2402400</v>
      </c>
      <c r="L32" s="5" t="n">
        <f aca="false">N(F32)-N(K32)</f>
        <v>0</v>
      </c>
      <c r="M32" s="25" t="str">
        <f aca="false">IF(F32="","미션에만",IF(K32="","원장에만",IF(L32=0,"일치","금액차이")))</f>
        <v>일치</v>
      </c>
      <c r="N32" s="12"/>
    </row>
    <row r="33" customFormat="false" ht="15" hidden="false" customHeight="false" outlineLevel="0" collapsed="false">
      <c r="A33" s="12" t="n">
        <v>2025</v>
      </c>
      <c r="B33" s="12" t="n">
        <v>7</v>
      </c>
      <c r="C33" s="13" t="s">
        <v>17</v>
      </c>
      <c r="D33" s="12" t="s">
        <v>139</v>
      </c>
      <c r="E33" s="12" t="s">
        <v>140</v>
      </c>
      <c r="F33" s="5" t="n">
        <v>3192000</v>
      </c>
      <c r="G33" s="12" t="s">
        <v>139</v>
      </c>
      <c r="H33" s="12" t="s">
        <v>110</v>
      </c>
      <c r="I33" s="13" t="s">
        <v>96</v>
      </c>
      <c r="J33" s="13" t="s">
        <v>97</v>
      </c>
      <c r="K33" s="5" t="n">
        <v>3192000</v>
      </c>
      <c r="L33" s="5" t="n">
        <f aca="false">N(F33)-N(K33)</f>
        <v>0</v>
      </c>
      <c r="M33" s="25" t="str">
        <f aca="false">IF(F33="","미션에만",IF(K33="","원장에만",IF(L33=0,"일치","금액차이")))</f>
        <v>일치</v>
      </c>
      <c r="N33" s="12"/>
    </row>
    <row r="34" customFormat="false" ht="15" hidden="false" customHeight="false" outlineLevel="0" collapsed="false">
      <c r="A34" s="12" t="n">
        <v>2025</v>
      </c>
      <c r="B34" s="12" t="n">
        <v>7</v>
      </c>
      <c r="C34" s="13" t="s">
        <v>17</v>
      </c>
      <c r="D34" s="12" t="s">
        <v>139</v>
      </c>
      <c r="E34" s="13" t="s">
        <v>122</v>
      </c>
      <c r="F34" s="5" t="n">
        <v>4125000</v>
      </c>
      <c r="G34" s="12" t="s">
        <v>139</v>
      </c>
      <c r="H34" s="13" t="s">
        <v>123</v>
      </c>
      <c r="I34" s="13" t="s">
        <v>99</v>
      </c>
      <c r="J34" s="13" t="s">
        <v>97</v>
      </c>
      <c r="K34" s="5" t="n">
        <v>4125000</v>
      </c>
      <c r="L34" s="5" t="n">
        <f aca="false">N(F34)-N(K34)</f>
        <v>0</v>
      </c>
      <c r="M34" s="25" t="str">
        <f aca="false">IF(F34="","미션에만",IF(K34="","원장에만",IF(L34=0,"일치","금액차이")))</f>
        <v>일치</v>
      </c>
      <c r="N34" s="12"/>
    </row>
    <row r="35" customFormat="false" ht="15" hidden="false" customHeight="false" outlineLevel="0" collapsed="false">
      <c r="A35" s="12" t="n">
        <v>2025</v>
      </c>
      <c r="B35" s="12" t="n">
        <v>7</v>
      </c>
      <c r="C35" s="13" t="s">
        <v>17</v>
      </c>
      <c r="D35" s="12" t="s">
        <v>139</v>
      </c>
      <c r="E35" s="12" t="s">
        <v>141</v>
      </c>
      <c r="F35" s="5" t="n">
        <v>168030815</v>
      </c>
      <c r="G35" s="12" t="s">
        <v>139</v>
      </c>
      <c r="H35" s="12" t="s">
        <v>141</v>
      </c>
      <c r="I35" s="13" t="s">
        <v>99</v>
      </c>
      <c r="J35" s="13" t="s">
        <v>97</v>
      </c>
      <c r="K35" s="5" t="n">
        <v>168030815</v>
      </c>
      <c r="L35" s="5" t="n">
        <f aca="false">N(F35)-N(K35)</f>
        <v>0</v>
      </c>
      <c r="M35" s="25" t="str">
        <f aca="false">IF(F35="","미션에만",IF(K35="","원장에만",IF(L35=0,"일치","금액차이")))</f>
        <v>일치</v>
      </c>
      <c r="N35" s="12"/>
    </row>
    <row r="36" customFormat="false" ht="15" hidden="false" customHeight="false" outlineLevel="0" collapsed="false">
      <c r="A36" s="12" t="n">
        <v>2025</v>
      </c>
      <c r="B36" s="12" t="n">
        <v>8</v>
      </c>
      <c r="C36" s="13" t="s">
        <v>17</v>
      </c>
      <c r="D36" s="12" t="s">
        <v>142</v>
      </c>
      <c r="E36" s="13" t="s">
        <v>143</v>
      </c>
      <c r="F36" s="5" t="n">
        <v>11201245</v>
      </c>
      <c r="G36" s="12" t="s">
        <v>142</v>
      </c>
      <c r="H36" s="13" t="s">
        <v>130</v>
      </c>
      <c r="I36" s="13" t="s">
        <v>96</v>
      </c>
      <c r="J36" s="13" t="s">
        <v>97</v>
      </c>
      <c r="K36" s="5" t="n">
        <v>11201245</v>
      </c>
      <c r="L36" s="5" t="n">
        <f aca="false">N(F36)-N(K36)</f>
        <v>0</v>
      </c>
      <c r="M36" s="25" t="str">
        <f aca="false">IF(F36="","미션에만",IF(K36="","원장에만",IF(L36=0,"일치","금액차이")))</f>
        <v>일치</v>
      </c>
      <c r="N36" s="12"/>
    </row>
    <row r="37" customFormat="false" ht="15" hidden="false" customHeight="false" outlineLevel="0" collapsed="false">
      <c r="A37" s="12" t="n">
        <v>2025</v>
      </c>
      <c r="B37" s="12" t="n">
        <v>8</v>
      </c>
      <c r="C37" s="13" t="s">
        <v>17</v>
      </c>
      <c r="D37" s="12" t="s">
        <v>142</v>
      </c>
      <c r="E37" s="13" t="s">
        <v>144</v>
      </c>
      <c r="F37" s="5" t="n">
        <v>1490787</v>
      </c>
      <c r="G37" s="12" t="s">
        <v>142</v>
      </c>
      <c r="H37" s="13" t="s">
        <v>128</v>
      </c>
      <c r="I37" s="13" t="s">
        <v>99</v>
      </c>
      <c r="J37" s="13" t="s">
        <v>97</v>
      </c>
      <c r="K37" s="5" t="n">
        <v>1490787</v>
      </c>
      <c r="L37" s="5" t="n">
        <f aca="false">N(F37)-N(K37)</f>
        <v>0</v>
      </c>
      <c r="M37" s="25" t="str">
        <f aca="false">IF(F37="","미션에만",IF(K37="","원장에만",IF(L37=0,"일치","금액차이")))</f>
        <v>일치</v>
      </c>
      <c r="N37" s="12"/>
    </row>
    <row r="38" customFormat="false" ht="15" hidden="false" customHeight="false" outlineLevel="0" collapsed="false">
      <c r="A38" s="12" t="n">
        <v>2025</v>
      </c>
      <c r="B38" s="12" t="n">
        <v>8</v>
      </c>
      <c r="C38" s="13" t="s">
        <v>17</v>
      </c>
      <c r="D38" s="12" t="s">
        <v>61</v>
      </c>
      <c r="E38" s="12" t="s">
        <v>145</v>
      </c>
      <c r="F38" s="5" t="n">
        <v>164010314</v>
      </c>
      <c r="G38" s="12" t="s">
        <v>61</v>
      </c>
      <c r="H38" s="12" t="s">
        <v>145</v>
      </c>
      <c r="I38" s="13" t="s">
        <v>99</v>
      </c>
      <c r="J38" s="13" t="s">
        <v>97</v>
      </c>
      <c r="K38" s="5" t="n">
        <v>164010314</v>
      </c>
      <c r="L38" s="5" t="n">
        <f aca="false">N(F38)-N(K38)</f>
        <v>0</v>
      </c>
      <c r="M38" s="25" t="str">
        <f aca="false">IF(F38="","미션에만",IF(K38="","원장에만",IF(L38=0,"일치","금액차이")))</f>
        <v>일치</v>
      </c>
      <c r="N38" s="12"/>
    </row>
    <row r="39" customFormat="false" ht="15" hidden="false" customHeight="false" outlineLevel="0" collapsed="false">
      <c r="A39" s="12" t="n">
        <v>2025</v>
      </c>
      <c r="B39" s="12" t="n">
        <v>8</v>
      </c>
      <c r="C39" s="13" t="s">
        <v>17</v>
      </c>
      <c r="D39" s="12" t="s">
        <v>61</v>
      </c>
      <c r="E39" s="13" t="s">
        <v>122</v>
      </c>
      <c r="F39" s="5" t="n">
        <v>4125000</v>
      </c>
      <c r="G39" s="12" t="s">
        <v>61</v>
      </c>
      <c r="H39" s="13" t="s">
        <v>123</v>
      </c>
      <c r="I39" s="13" t="s">
        <v>99</v>
      </c>
      <c r="J39" s="13" t="s">
        <v>97</v>
      </c>
      <c r="K39" s="5" t="n">
        <v>4125000</v>
      </c>
      <c r="L39" s="5" t="n">
        <f aca="false">N(F39)-N(K39)</f>
        <v>0</v>
      </c>
      <c r="M39" s="25" t="str">
        <f aca="false">IF(F39="","미션에만",IF(K39="","원장에만",IF(L39=0,"일치","금액차이")))</f>
        <v>일치</v>
      </c>
      <c r="N39" s="12"/>
    </row>
    <row r="40" customFormat="false" ht="15" hidden="false" customHeight="false" outlineLevel="0" collapsed="false">
      <c r="A40" s="12" t="n">
        <v>2025</v>
      </c>
      <c r="B40" s="12" t="n">
        <v>8</v>
      </c>
      <c r="C40" s="13" t="s">
        <v>17</v>
      </c>
      <c r="D40" s="12" t="s">
        <v>61</v>
      </c>
      <c r="E40" s="12" t="s">
        <v>146</v>
      </c>
      <c r="F40" s="5" t="n">
        <v>5297200</v>
      </c>
      <c r="G40" s="12" t="s">
        <v>61</v>
      </c>
      <c r="H40" s="12" t="s">
        <v>146</v>
      </c>
      <c r="I40" s="13" t="s">
        <v>96</v>
      </c>
      <c r="J40" s="13" t="s">
        <v>97</v>
      </c>
      <c r="K40" s="5" t="n">
        <v>5297200</v>
      </c>
      <c r="L40" s="5" t="n">
        <f aca="false">N(F40)-N(K40)</f>
        <v>0</v>
      </c>
      <c r="M40" s="25" t="str">
        <f aca="false">IF(F40="","미션에만",IF(K40="","원장에만",IF(L40=0,"일치","금액차이")))</f>
        <v>일치</v>
      </c>
      <c r="N40" s="12"/>
    </row>
    <row r="41" customFormat="false" ht="15" hidden="false" customHeight="false" outlineLevel="0" collapsed="false">
      <c r="A41" s="12" t="n">
        <v>2025</v>
      </c>
      <c r="B41" s="12" t="n">
        <v>9</v>
      </c>
      <c r="C41" s="13" t="s">
        <v>17</v>
      </c>
      <c r="D41" s="12" t="s">
        <v>29</v>
      </c>
      <c r="E41" s="12" t="s">
        <v>147</v>
      </c>
      <c r="F41" s="5" t="n">
        <v>185708122</v>
      </c>
      <c r="G41" s="12" t="s">
        <v>29</v>
      </c>
      <c r="H41" s="12" t="s">
        <v>147</v>
      </c>
      <c r="I41" s="13" t="s">
        <v>99</v>
      </c>
      <c r="J41" s="13" t="s">
        <v>97</v>
      </c>
      <c r="K41" s="5" t="n">
        <v>185708122</v>
      </c>
      <c r="L41" s="5" t="n">
        <f aca="false">N(F41)-N(K41)</f>
        <v>0</v>
      </c>
      <c r="M41" s="25" t="str">
        <f aca="false">IF(F41="","미션에만",IF(K41="","원장에만",IF(L41=0,"일치","금액차이")))</f>
        <v>일치</v>
      </c>
      <c r="N41" s="12"/>
    </row>
    <row r="42" customFormat="false" ht="15" hidden="false" customHeight="false" outlineLevel="0" collapsed="false">
      <c r="A42" s="12" t="n">
        <v>2025</v>
      </c>
      <c r="B42" s="12" t="n">
        <v>9</v>
      </c>
      <c r="C42" s="13" t="s">
        <v>17</v>
      </c>
      <c r="D42" s="12" t="s">
        <v>29</v>
      </c>
      <c r="E42" s="13" t="s">
        <v>122</v>
      </c>
      <c r="F42" s="5" t="n">
        <v>4125000</v>
      </c>
      <c r="G42" s="12" t="s">
        <v>29</v>
      </c>
      <c r="H42" s="13" t="s">
        <v>123</v>
      </c>
      <c r="I42" s="13" t="s">
        <v>99</v>
      </c>
      <c r="J42" s="13" t="s">
        <v>97</v>
      </c>
      <c r="K42" s="5" t="n">
        <v>4125000</v>
      </c>
      <c r="L42" s="5" t="n">
        <f aca="false">N(F42)-N(K42)</f>
        <v>0</v>
      </c>
      <c r="M42" s="25" t="str">
        <f aca="false">IF(F42="","미션에만",IF(K42="","원장에만",IF(L42=0,"일치","금액차이")))</f>
        <v>일치</v>
      </c>
      <c r="N42" s="12"/>
    </row>
    <row r="43" customFormat="false" ht="15" hidden="false" customHeight="false" outlineLevel="0" collapsed="false">
      <c r="A43" s="12" t="n">
        <v>2025</v>
      </c>
      <c r="B43" s="12" t="n">
        <v>9</v>
      </c>
      <c r="C43" s="13" t="s">
        <v>17</v>
      </c>
      <c r="D43" s="12" t="s">
        <v>29</v>
      </c>
      <c r="E43" s="12" t="s">
        <v>134</v>
      </c>
      <c r="F43" s="5" t="n">
        <v>2553600</v>
      </c>
      <c r="G43" s="12" t="s">
        <v>29</v>
      </c>
      <c r="H43" s="12" t="s">
        <v>110</v>
      </c>
      <c r="I43" s="13" t="s">
        <v>96</v>
      </c>
      <c r="J43" s="13" t="s">
        <v>97</v>
      </c>
      <c r="K43" s="5" t="n">
        <v>2553600</v>
      </c>
      <c r="L43" s="5" t="n">
        <f aca="false">N(F43)-N(K43)</f>
        <v>0</v>
      </c>
      <c r="M43" s="25" t="str">
        <f aca="false">IF(F43="","미션에만",IF(K43="","원장에만",IF(L43=0,"일치","금액차이")))</f>
        <v>일치</v>
      </c>
      <c r="N43" s="12"/>
    </row>
    <row r="44" customFormat="false" ht="15" hidden="false" customHeight="false" outlineLevel="0" collapsed="false">
      <c r="A44" s="12" t="n">
        <v>2025</v>
      </c>
      <c r="B44" s="12" t="n">
        <v>10</v>
      </c>
      <c r="C44" s="13" t="s">
        <v>17</v>
      </c>
      <c r="D44" s="12" t="s">
        <v>148</v>
      </c>
      <c r="E44" s="13" t="s">
        <v>122</v>
      </c>
      <c r="F44" s="5" t="n">
        <v>4125000</v>
      </c>
      <c r="G44" s="12" t="s">
        <v>148</v>
      </c>
      <c r="H44" s="13" t="s">
        <v>123</v>
      </c>
      <c r="I44" s="13" t="s">
        <v>99</v>
      </c>
      <c r="J44" s="13" t="s">
        <v>97</v>
      </c>
      <c r="K44" s="5" t="n">
        <v>4125000</v>
      </c>
      <c r="L44" s="5" t="n">
        <f aca="false">N(F44)-N(K44)</f>
        <v>0</v>
      </c>
      <c r="M44" s="25" t="str">
        <f aca="false">IF(F44="","미션에만",IF(K44="","원장에만",IF(L44=0,"일치","금액차이")))</f>
        <v>일치</v>
      </c>
      <c r="N44" s="12"/>
    </row>
    <row r="45" customFormat="false" ht="15" hidden="false" customHeight="false" outlineLevel="0" collapsed="false">
      <c r="A45" s="12" t="n">
        <v>2025</v>
      </c>
      <c r="B45" s="12" t="n">
        <v>10</v>
      </c>
      <c r="C45" s="13" t="s">
        <v>17</v>
      </c>
      <c r="D45" s="12" t="s">
        <v>148</v>
      </c>
      <c r="E45" s="13" t="s">
        <v>149</v>
      </c>
      <c r="F45" s="5" t="n">
        <v>-4125000</v>
      </c>
      <c r="G45" s="12" t="s">
        <v>148</v>
      </c>
      <c r="H45" s="13" t="s">
        <v>123</v>
      </c>
      <c r="I45" s="13" t="s">
        <v>99</v>
      </c>
      <c r="J45" s="13" t="s">
        <v>97</v>
      </c>
      <c r="K45" s="5" t="n">
        <v>-4125000</v>
      </c>
      <c r="L45" s="5" t="n">
        <f aca="false">N(F45)-N(K45)</f>
        <v>0</v>
      </c>
      <c r="M45" s="25" t="str">
        <f aca="false">IF(F45="","미션에만",IF(K45="","원장에만",IF(L45=0,"일치","금액차이")))</f>
        <v>일치</v>
      </c>
      <c r="N45" s="12"/>
    </row>
    <row r="46" customFormat="false" ht="15" hidden="false" customHeight="false" outlineLevel="0" collapsed="false">
      <c r="A46" s="12" t="n">
        <v>2025</v>
      </c>
      <c r="B46" s="12" t="n">
        <v>10</v>
      </c>
      <c r="C46" s="13" t="s">
        <v>17</v>
      </c>
      <c r="D46" s="12" t="s">
        <v>52</v>
      </c>
      <c r="E46" s="13" t="s">
        <v>150</v>
      </c>
      <c r="F46" s="5" t="n">
        <v>504625</v>
      </c>
      <c r="G46" s="12" t="s">
        <v>52</v>
      </c>
      <c r="H46" s="13" t="s">
        <v>151</v>
      </c>
      <c r="I46" s="13" t="s">
        <v>96</v>
      </c>
      <c r="J46" s="13" t="s">
        <v>97</v>
      </c>
      <c r="K46" s="5" t="n">
        <v>504625</v>
      </c>
      <c r="L46" s="5" t="n">
        <f aca="false">N(F46)-N(K46)</f>
        <v>0</v>
      </c>
      <c r="M46" s="25" t="str">
        <f aca="false">IF(F46="","미션에만",IF(K46="","원장에만",IF(L46=0,"일치","금액차이")))</f>
        <v>일치</v>
      </c>
      <c r="N46" s="12"/>
    </row>
    <row r="47" customFormat="false" ht="15" hidden="false" customHeight="false" outlineLevel="0" collapsed="false">
      <c r="A47" s="30" t="n">
        <v>2025</v>
      </c>
      <c r="B47" s="30" t="n">
        <v>10</v>
      </c>
      <c r="C47" s="31" t="s">
        <v>17</v>
      </c>
      <c r="D47" s="30" t="s">
        <v>52</v>
      </c>
      <c r="E47" s="31" t="s">
        <v>152</v>
      </c>
      <c r="F47" s="32" t="n">
        <v>1080927</v>
      </c>
      <c r="G47" s="30" t="s">
        <v>52</v>
      </c>
      <c r="H47" s="31" t="s">
        <v>128</v>
      </c>
      <c r="I47" s="31" t="s">
        <v>99</v>
      </c>
      <c r="J47" s="31" t="s">
        <v>153</v>
      </c>
      <c r="K47" s="32" t="n">
        <v>1080927</v>
      </c>
      <c r="L47" s="32" t="n">
        <f aca="false">N(F47)-N(K47)</f>
        <v>0</v>
      </c>
      <c r="M47" s="33" t="str">
        <f aca="false">IF(F47="","미션에만",IF(K47="","원장에만",IF(L47=0,"일치","금액차이")))</f>
        <v>일치</v>
      </c>
      <c r="N47" s="31" t="s">
        <v>154</v>
      </c>
    </row>
    <row r="48" customFormat="false" ht="15" hidden="false" customHeight="false" outlineLevel="0" collapsed="false">
      <c r="A48" s="30" t="n">
        <v>2025</v>
      </c>
      <c r="B48" s="30" t="n">
        <v>10</v>
      </c>
      <c r="C48" s="31" t="s">
        <v>17</v>
      </c>
      <c r="D48" s="30" t="s">
        <v>52</v>
      </c>
      <c r="E48" s="31" t="s">
        <v>155</v>
      </c>
      <c r="F48" s="32" t="n">
        <v>7173170</v>
      </c>
      <c r="G48" s="30" t="s">
        <v>52</v>
      </c>
      <c r="H48" s="31" t="s">
        <v>130</v>
      </c>
      <c r="I48" s="31" t="s">
        <v>96</v>
      </c>
      <c r="J48" s="31" t="s">
        <v>153</v>
      </c>
      <c r="K48" s="32" t="n">
        <v>7173170</v>
      </c>
      <c r="L48" s="32" t="n">
        <f aca="false">N(F48)-N(K48)</f>
        <v>0</v>
      </c>
      <c r="M48" s="33" t="str">
        <f aca="false">IF(F48="","미션에만",IF(K48="","원장에만",IF(L48=0,"일치","금액차이")))</f>
        <v>일치</v>
      </c>
      <c r="N48" s="31" t="s">
        <v>156</v>
      </c>
    </row>
    <row r="49" customFormat="false" ht="15" hidden="false" customHeight="false" outlineLevel="0" collapsed="false">
      <c r="A49" s="12" t="n">
        <v>2025</v>
      </c>
      <c r="B49" s="12" t="n">
        <v>10</v>
      </c>
      <c r="C49" s="13" t="s">
        <v>17</v>
      </c>
      <c r="D49" s="12" t="s">
        <v>157</v>
      </c>
      <c r="E49" s="12" t="s">
        <v>158</v>
      </c>
      <c r="F49" s="5" t="n">
        <v>195941305</v>
      </c>
      <c r="G49" s="12" t="s">
        <v>157</v>
      </c>
      <c r="H49" s="12" t="s">
        <v>158</v>
      </c>
      <c r="I49" s="13" t="s">
        <v>99</v>
      </c>
      <c r="J49" s="13" t="s">
        <v>97</v>
      </c>
      <c r="K49" s="5" t="n">
        <v>195941305</v>
      </c>
      <c r="L49" s="5" t="n">
        <f aca="false">N(F49)-N(K49)</f>
        <v>0</v>
      </c>
      <c r="M49" s="25" t="str">
        <f aca="false">IF(F49="","미션에만",IF(K49="","원장에만",IF(L49=0,"일치","금액차이")))</f>
        <v>일치</v>
      </c>
      <c r="N49" s="12"/>
    </row>
    <row r="50" customFormat="false" ht="15" hidden="false" customHeight="false" outlineLevel="0" collapsed="false">
      <c r="A50" s="12" t="n">
        <v>2025</v>
      </c>
      <c r="B50" s="12" t="n">
        <v>10</v>
      </c>
      <c r="C50" s="13" t="s">
        <v>17</v>
      </c>
      <c r="D50" s="12" t="s">
        <v>157</v>
      </c>
      <c r="E50" s="13" t="s">
        <v>122</v>
      </c>
      <c r="F50" s="5" t="n">
        <v>4125000</v>
      </c>
      <c r="G50" s="12" t="s">
        <v>157</v>
      </c>
      <c r="H50" s="13" t="s">
        <v>123</v>
      </c>
      <c r="I50" s="13" t="s">
        <v>99</v>
      </c>
      <c r="J50" s="13" t="s">
        <v>97</v>
      </c>
      <c r="K50" s="5" t="n">
        <v>4125000</v>
      </c>
      <c r="L50" s="5" t="n">
        <f aca="false">N(F50)-N(K50)</f>
        <v>0</v>
      </c>
      <c r="M50" s="25" t="str">
        <f aca="false">IF(F50="","미션에만",IF(K50="","원장에만",IF(L50=0,"일치","금액차이")))</f>
        <v>일치</v>
      </c>
      <c r="N50" s="12"/>
    </row>
    <row r="51" customFormat="false" ht="15" hidden="false" customHeight="false" outlineLevel="0" collapsed="false">
      <c r="A51" s="12" t="n">
        <v>2025</v>
      </c>
      <c r="B51" s="12" t="n">
        <v>10</v>
      </c>
      <c r="C51" s="13" t="s">
        <v>17</v>
      </c>
      <c r="D51" s="12" t="s">
        <v>157</v>
      </c>
      <c r="E51" s="12" t="s">
        <v>159</v>
      </c>
      <c r="F51" s="5" t="n">
        <v>1915200</v>
      </c>
      <c r="G51" s="12" t="s">
        <v>157</v>
      </c>
      <c r="H51" s="12" t="s">
        <v>95</v>
      </c>
      <c r="I51" s="13" t="s">
        <v>96</v>
      </c>
      <c r="J51" s="13" t="s">
        <v>97</v>
      </c>
      <c r="K51" s="5" t="n">
        <v>1915200</v>
      </c>
      <c r="L51" s="5" t="n">
        <f aca="false">N(F51)-N(K51)</f>
        <v>0</v>
      </c>
      <c r="M51" s="25" t="str">
        <f aca="false">IF(F51="","미션에만",IF(K51="","원장에만",IF(L51=0,"일치","금액차이")))</f>
        <v>일치</v>
      </c>
      <c r="N51" s="12"/>
    </row>
    <row r="52" customFormat="false" ht="15" hidden="false" customHeight="false" outlineLevel="0" collapsed="false">
      <c r="A52" s="12" t="n">
        <v>2025</v>
      </c>
      <c r="B52" s="12" t="n">
        <v>11</v>
      </c>
      <c r="C52" s="13" t="s">
        <v>17</v>
      </c>
      <c r="D52" s="12" t="s">
        <v>160</v>
      </c>
      <c r="E52" s="13" t="s">
        <v>122</v>
      </c>
      <c r="F52" s="5" t="n">
        <v>4125000</v>
      </c>
      <c r="G52" s="12" t="s">
        <v>160</v>
      </c>
      <c r="H52" s="13" t="s">
        <v>123</v>
      </c>
      <c r="I52" s="13" t="s">
        <v>99</v>
      </c>
      <c r="J52" s="13" t="s">
        <v>97</v>
      </c>
      <c r="K52" s="5" t="n">
        <v>4125000</v>
      </c>
      <c r="L52" s="5" t="n">
        <f aca="false">N(F52)-N(K52)</f>
        <v>0</v>
      </c>
      <c r="M52" s="25" t="str">
        <f aca="false">IF(F52="","미션에만",IF(K52="","원장에만",IF(L52=0,"일치","금액차이")))</f>
        <v>일치</v>
      </c>
      <c r="N52" s="12"/>
    </row>
    <row r="53" customFormat="false" ht="15" hidden="false" customHeight="false" outlineLevel="0" collapsed="false">
      <c r="A53" s="12" t="n">
        <v>2025</v>
      </c>
      <c r="B53" s="12" t="n">
        <v>11</v>
      </c>
      <c r="C53" s="13" t="s">
        <v>17</v>
      </c>
      <c r="D53" s="12" t="s">
        <v>161</v>
      </c>
      <c r="E53" s="12" t="s">
        <v>162</v>
      </c>
      <c r="F53" s="5" t="n">
        <v>135509733</v>
      </c>
      <c r="G53" s="12" t="s">
        <v>161</v>
      </c>
      <c r="H53" s="12" t="s">
        <v>162</v>
      </c>
      <c r="I53" s="13" t="s">
        <v>99</v>
      </c>
      <c r="J53" s="13" t="s">
        <v>97</v>
      </c>
      <c r="K53" s="5" t="n">
        <v>135509733</v>
      </c>
      <c r="L53" s="5" t="n">
        <f aca="false">N(F53)-N(K53)</f>
        <v>0</v>
      </c>
      <c r="M53" s="25" t="str">
        <f aca="false">IF(F53="","미션에만",IF(K53="","원장에만",IF(L53=0,"일치","금액차이")))</f>
        <v>일치</v>
      </c>
      <c r="N53" s="12"/>
    </row>
    <row r="54" customFormat="false" ht="15" hidden="false" customHeight="false" outlineLevel="0" collapsed="false">
      <c r="A54" s="12" t="n">
        <v>2025</v>
      </c>
      <c r="B54" s="12" t="n">
        <v>11</v>
      </c>
      <c r="C54" s="13" t="s">
        <v>17</v>
      </c>
      <c r="D54" s="12" t="s">
        <v>161</v>
      </c>
      <c r="E54" s="12" t="s">
        <v>163</v>
      </c>
      <c r="F54" s="5" t="n">
        <v>1531970</v>
      </c>
      <c r="G54" s="12" t="s">
        <v>161</v>
      </c>
      <c r="H54" s="12" t="s">
        <v>95</v>
      </c>
      <c r="I54" s="13" t="s">
        <v>96</v>
      </c>
      <c r="J54" s="13" t="s">
        <v>97</v>
      </c>
      <c r="K54" s="5" t="n">
        <v>1531970</v>
      </c>
      <c r="L54" s="5" t="n">
        <f aca="false">N(F54)-N(K54)</f>
        <v>0</v>
      </c>
      <c r="M54" s="25" t="str">
        <f aca="false">IF(F54="","미션에만",IF(K54="","원장에만",IF(L54=0,"일치","금액차이")))</f>
        <v>일치</v>
      </c>
      <c r="N54" s="12"/>
    </row>
    <row r="55" customFormat="false" ht="15" hidden="false" customHeight="false" outlineLevel="0" collapsed="false">
      <c r="A55" s="12" t="n">
        <v>2025</v>
      </c>
      <c r="B55" s="12" t="n">
        <v>12</v>
      </c>
      <c r="C55" s="13" t="s">
        <v>17</v>
      </c>
      <c r="D55" s="12" t="s">
        <v>164</v>
      </c>
      <c r="E55" s="13" t="s">
        <v>165</v>
      </c>
      <c r="F55" s="5" t="n">
        <v>13000000</v>
      </c>
      <c r="G55" s="12" t="s">
        <v>164</v>
      </c>
      <c r="H55" s="13" t="s">
        <v>166</v>
      </c>
      <c r="I55" s="13" t="s">
        <v>99</v>
      </c>
      <c r="J55" s="13" t="s">
        <v>167</v>
      </c>
      <c r="K55" s="5" t="n">
        <v>13000000</v>
      </c>
      <c r="L55" s="5" t="n">
        <f aca="false">N(F55)-N(K55)</f>
        <v>0</v>
      </c>
      <c r="M55" s="25" t="str">
        <f aca="false">IF(F55="","미션에만",IF(K55="","원장에만",IF(L55=0,"일치","금액차이")))</f>
        <v>일치</v>
      </c>
      <c r="N55" s="12"/>
    </row>
    <row r="56" customFormat="false" ht="15" hidden="false" customHeight="false" outlineLevel="0" collapsed="false">
      <c r="A56" s="12" t="n">
        <v>2025</v>
      </c>
      <c r="B56" s="12" t="n">
        <v>12</v>
      </c>
      <c r="C56" s="13" t="s">
        <v>17</v>
      </c>
      <c r="D56" s="12" t="s">
        <v>168</v>
      </c>
      <c r="E56" s="13" t="s">
        <v>122</v>
      </c>
      <c r="F56" s="5" t="n">
        <v>4125000</v>
      </c>
      <c r="G56" s="12" t="s">
        <v>168</v>
      </c>
      <c r="H56" s="13" t="s">
        <v>123</v>
      </c>
      <c r="I56" s="13" t="s">
        <v>99</v>
      </c>
      <c r="J56" s="13" t="s">
        <v>97</v>
      </c>
      <c r="K56" s="5" t="n">
        <v>4125000</v>
      </c>
      <c r="L56" s="5" t="n">
        <f aca="false">N(F56)-N(K56)</f>
        <v>0</v>
      </c>
      <c r="M56" s="25" t="str">
        <f aca="false">IF(F56="","미션에만",IF(K56="","원장에만",IF(L56=0,"일치","금액차이")))</f>
        <v>일치</v>
      </c>
      <c r="N56" s="12"/>
    </row>
    <row r="57" customFormat="false" ht="15" hidden="false" customHeight="false" outlineLevel="0" collapsed="false">
      <c r="A57" s="12" t="n">
        <v>2025</v>
      </c>
      <c r="B57" s="12" t="n">
        <v>12</v>
      </c>
      <c r="C57" s="13" t="s">
        <v>17</v>
      </c>
      <c r="D57" s="12" t="s">
        <v>168</v>
      </c>
      <c r="E57" s="13" t="s">
        <v>149</v>
      </c>
      <c r="F57" s="5" t="n">
        <v>-4125000</v>
      </c>
      <c r="G57" s="12" t="s">
        <v>168</v>
      </c>
      <c r="H57" s="13" t="s">
        <v>123</v>
      </c>
      <c r="I57" s="13" t="s">
        <v>99</v>
      </c>
      <c r="J57" s="13" t="s">
        <v>97</v>
      </c>
      <c r="K57" s="5" t="n">
        <v>-4125000</v>
      </c>
      <c r="L57" s="5" t="n">
        <f aca="false">N(F57)-N(K57)</f>
        <v>0</v>
      </c>
      <c r="M57" s="25" t="str">
        <f aca="false">IF(F57="","미션에만",IF(K57="","원장에만",IF(L57=0,"일치","금액차이")))</f>
        <v>일치</v>
      </c>
      <c r="N57" s="12"/>
    </row>
    <row r="58" customFormat="false" ht="15" hidden="false" customHeight="false" outlineLevel="0" collapsed="false">
      <c r="A58" s="12" t="n">
        <v>2025</v>
      </c>
      <c r="B58" s="12" t="n">
        <v>12</v>
      </c>
      <c r="C58" s="13" t="s">
        <v>17</v>
      </c>
      <c r="D58" s="12" t="s">
        <v>169</v>
      </c>
      <c r="E58" s="12" t="s">
        <v>170</v>
      </c>
      <c r="F58" s="5" t="n">
        <v>65527196</v>
      </c>
      <c r="G58" s="12" t="s">
        <v>169</v>
      </c>
      <c r="H58" s="12" t="s">
        <v>170</v>
      </c>
      <c r="I58" s="13" t="s">
        <v>99</v>
      </c>
      <c r="J58" s="13" t="s">
        <v>97</v>
      </c>
      <c r="K58" s="5" t="n">
        <v>65527196</v>
      </c>
      <c r="L58" s="5" t="n">
        <f aca="false">N(F58)-N(K58)</f>
        <v>0</v>
      </c>
      <c r="M58" s="25" t="str">
        <f aca="false">IF(F58="","미션에만",IF(K58="","원장에만",IF(L58=0,"일치","금액차이")))</f>
        <v>일치</v>
      </c>
      <c r="N58" s="12"/>
    </row>
    <row r="59" customFormat="false" ht="15" hidden="false" customHeight="false" outlineLevel="0" collapsed="false">
      <c r="A59" s="12" t="n">
        <v>2025</v>
      </c>
      <c r="B59" s="12" t="n">
        <v>1</v>
      </c>
      <c r="C59" s="13" t="s">
        <v>18</v>
      </c>
      <c r="D59" s="12" t="s">
        <v>66</v>
      </c>
      <c r="E59" s="12" t="s">
        <v>171</v>
      </c>
      <c r="F59" s="5" t="n">
        <v>11193209</v>
      </c>
      <c r="G59" s="12" t="s">
        <v>66</v>
      </c>
      <c r="H59" s="12" t="s">
        <v>171</v>
      </c>
      <c r="I59" s="13" t="s">
        <v>99</v>
      </c>
      <c r="J59" s="13" t="s">
        <v>172</v>
      </c>
      <c r="K59" s="5" t="n">
        <v>11193209</v>
      </c>
      <c r="L59" s="5" t="n">
        <f aca="false">N(F59)-N(K59)</f>
        <v>0</v>
      </c>
      <c r="M59" s="25" t="str">
        <f aca="false">IF(F59="","미션에만",IF(K59="","원장에만",IF(L59=0,"일치","금액차이")))</f>
        <v>일치</v>
      </c>
      <c r="N59" s="12"/>
    </row>
    <row r="60" customFormat="false" ht="15" hidden="false" customHeight="false" outlineLevel="0" collapsed="false">
      <c r="A60" s="30" t="n">
        <v>2025</v>
      </c>
      <c r="B60" s="30" t="n">
        <v>2</v>
      </c>
      <c r="C60" s="31" t="s">
        <v>18</v>
      </c>
      <c r="D60" s="30" t="s">
        <v>77</v>
      </c>
      <c r="E60" s="30" t="s">
        <v>173</v>
      </c>
      <c r="F60" s="32" t="n">
        <v>35266495</v>
      </c>
      <c r="G60" s="30" t="s">
        <v>77</v>
      </c>
      <c r="H60" s="30" t="s">
        <v>174</v>
      </c>
      <c r="I60" s="31" t="s">
        <v>99</v>
      </c>
      <c r="J60" s="31" t="s">
        <v>172</v>
      </c>
      <c r="K60" s="32" t="n">
        <v>35266495</v>
      </c>
      <c r="L60" s="32" t="n">
        <f aca="false">N(F60)-N(K60)</f>
        <v>0</v>
      </c>
      <c r="M60" s="33" t="str">
        <f aca="false">IF(F60="","미션에만",IF(K60="","원장에만",IF(L60=0,"일치","금액차이")))</f>
        <v>일치</v>
      </c>
      <c r="N60" s="31" t="s">
        <v>175</v>
      </c>
    </row>
    <row r="61" customFormat="false" ht="15" hidden="false" customHeight="false" outlineLevel="0" collapsed="false">
      <c r="A61" s="12" t="n">
        <v>2025</v>
      </c>
      <c r="B61" s="12" t="n">
        <v>3</v>
      </c>
      <c r="C61" s="13" t="s">
        <v>18</v>
      </c>
      <c r="D61" s="12" t="s">
        <v>104</v>
      </c>
      <c r="E61" s="13" t="s">
        <v>176</v>
      </c>
      <c r="F61" s="5" t="n">
        <v>4125000</v>
      </c>
      <c r="G61" s="12" t="s">
        <v>104</v>
      </c>
      <c r="H61" s="13" t="s">
        <v>177</v>
      </c>
      <c r="I61" s="13" t="s">
        <v>99</v>
      </c>
      <c r="J61" s="13" t="s">
        <v>172</v>
      </c>
      <c r="K61" s="5" t="n">
        <v>4125000</v>
      </c>
      <c r="L61" s="5" t="n">
        <f aca="false">N(F61)-N(K61)</f>
        <v>0</v>
      </c>
      <c r="M61" s="25" t="str">
        <f aca="false">IF(F61="","미션에만",IF(K61="","원장에만",IF(L61=0,"일치","금액차이")))</f>
        <v>일치</v>
      </c>
      <c r="N61" s="12"/>
    </row>
    <row r="62" customFormat="false" ht="15" hidden="false" customHeight="false" outlineLevel="0" collapsed="false">
      <c r="A62" s="12" t="n">
        <v>2025</v>
      </c>
      <c r="B62" s="12" t="n">
        <v>3</v>
      </c>
      <c r="C62" s="13" t="s">
        <v>18</v>
      </c>
      <c r="D62" s="12" t="s">
        <v>178</v>
      </c>
      <c r="E62" s="13" t="s">
        <v>176</v>
      </c>
      <c r="F62" s="5" t="n">
        <v>-4125000</v>
      </c>
      <c r="G62" s="12" t="s">
        <v>178</v>
      </c>
      <c r="H62" s="13" t="s">
        <v>177</v>
      </c>
      <c r="I62" s="13" t="s">
        <v>99</v>
      </c>
      <c r="J62" s="13" t="s">
        <v>172</v>
      </c>
      <c r="K62" s="5" t="n">
        <v>-4125000</v>
      </c>
      <c r="L62" s="5" t="n">
        <f aca="false">N(F62)-N(K62)</f>
        <v>0</v>
      </c>
      <c r="M62" s="25" t="str">
        <f aca="false">IF(F62="","미션에만",IF(K62="","원장에만",IF(L62=0,"일치","금액차이")))</f>
        <v>일치</v>
      </c>
      <c r="N62" s="12"/>
    </row>
    <row r="63" customFormat="false" ht="15" hidden="false" customHeight="false" outlineLevel="0" collapsed="false">
      <c r="A63" s="26" t="n">
        <v>2025</v>
      </c>
      <c r="B63" s="26" t="n">
        <v>3</v>
      </c>
      <c r="C63" s="27" t="s">
        <v>18</v>
      </c>
      <c r="D63" s="26" t="s">
        <v>179</v>
      </c>
      <c r="E63" s="27" t="s">
        <v>107</v>
      </c>
      <c r="F63" s="28" t="n">
        <v>850450</v>
      </c>
      <c r="G63" s="26"/>
      <c r="H63" s="26"/>
      <c r="I63" s="26"/>
      <c r="J63" s="26"/>
      <c r="K63" s="28"/>
      <c r="L63" s="28" t="n">
        <f aca="false">N(F63)-N(K63)</f>
        <v>850450</v>
      </c>
      <c r="M63" s="29" t="str">
        <f aca="false">IF(F63="","미션에만",IF(K63="","원장에만",IF(L63=0,"일치","금액차이")))</f>
        <v>원장에만</v>
      </c>
      <c r="N63" s="27" t="s">
        <v>180</v>
      </c>
    </row>
    <row r="64" customFormat="false" ht="15" hidden="false" customHeight="false" outlineLevel="0" collapsed="false">
      <c r="A64" s="12" t="n">
        <v>2025</v>
      </c>
      <c r="B64" s="12" t="n">
        <v>3</v>
      </c>
      <c r="C64" s="13" t="s">
        <v>18</v>
      </c>
      <c r="D64" s="12" t="s">
        <v>57</v>
      </c>
      <c r="E64" s="12" t="s">
        <v>181</v>
      </c>
      <c r="F64" s="5" t="n">
        <v>11712301</v>
      </c>
      <c r="G64" s="12" t="s">
        <v>57</v>
      </c>
      <c r="H64" s="12" t="s">
        <v>181</v>
      </c>
      <c r="I64" s="13" t="s">
        <v>99</v>
      </c>
      <c r="J64" s="13" t="s">
        <v>172</v>
      </c>
      <c r="K64" s="5" t="n">
        <v>11712301</v>
      </c>
      <c r="L64" s="5" t="n">
        <f aca="false">N(F64)-N(K64)</f>
        <v>0</v>
      </c>
      <c r="M64" s="25" t="str">
        <f aca="false">IF(F64="","미션에만",IF(K64="","원장에만",IF(L64=0,"일치","금액차이")))</f>
        <v>일치</v>
      </c>
      <c r="N64" s="12"/>
    </row>
    <row r="65" customFormat="false" ht="15" hidden="false" customHeight="false" outlineLevel="0" collapsed="false">
      <c r="A65" s="12" t="n">
        <v>2025</v>
      </c>
      <c r="B65" s="12" t="n">
        <v>4</v>
      </c>
      <c r="C65" s="13" t="s">
        <v>18</v>
      </c>
      <c r="D65" s="12" t="s">
        <v>119</v>
      </c>
      <c r="E65" s="12" t="s">
        <v>182</v>
      </c>
      <c r="F65" s="5" t="n">
        <v>15255923</v>
      </c>
      <c r="G65" s="12" t="s">
        <v>119</v>
      </c>
      <c r="H65" s="12" t="s">
        <v>182</v>
      </c>
      <c r="I65" s="13" t="s">
        <v>99</v>
      </c>
      <c r="J65" s="13" t="s">
        <v>172</v>
      </c>
      <c r="K65" s="5" t="n">
        <v>15255923</v>
      </c>
      <c r="L65" s="5" t="n">
        <f aca="false">N(F65)-N(K65)</f>
        <v>0</v>
      </c>
      <c r="M65" s="25" t="str">
        <f aca="false">IF(F65="","미션에만",IF(K65="","원장에만",IF(L65=0,"일치","금액차이")))</f>
        <v>일치</v>
      </c>
      <c r="N65" s="12"/>
    </row>
    <row r="66" customFormat="false" ht="15" hidden="false" customHeight="false" outlineLevel="0" collapsed="false">
      <c r="A66" s="12" t="n">
        <v>2025</v>
      </c>
      <c r="B66" s="12" t="n">
        <v>5</v>
      </c>
      <c r="C66" s="13" t="s">
        <v>18</v>
      </c>
      <c r="D66" s="12" t="s">
        <v>121</v>
      </c>
      <c r="E66" s="12" t="s">
        <v>183</v>
      </c>
      <c r="F66" s="5" t="n">
        <v>60394103</v>
      </c>
      <c r="G66" s="12" t="s">
        <v>121</v>
      </c>
      <c r="H66" s="12" t="s">
        <v>183</v>
      </c>
      <c r="I66" s="13" t="s">
        <v>99</v>
      </c>
      <c r="J66" s="13" t="s">
        <v>172</v>
      </c>
      <c r="K66" s="5" t="n">
        <v>60394103</v>
      </c>
      <c r="L66" s="5" t="n">
        <f aca="false">N(F66)-N(K66)</f>
        <v>0</v>
      </c>
      <c r="M66" s="25" t="str">
        <f aca="false">IF(F66="","미션에만",IF(K66="","원장에만",IF(L66=0,"일치","금액차이")))</f>
        <v>일치</v>
      </c>
      <c r="N66" s="12"/>
    </row>
    <row r="67" customFormat="false" ht="15" hidden="false" customHeight="false" outlineLevel="0" collapsed="false">
      <c r="A67" s="12" t="n">
        <v>2025</v>
      </c>
      <c r="B67" s="12" t="n">
        <v>6</v>
      </c>
      <c r="C67" s="13" t="s">
        <v>18</v>
      </c>
      <c r="D67" s="12" t="s">
        <v>133</v>
      </c>
      <c r="E67" s="12" t="s">
        <v>184</v>
      </c>
      <c r="F67" s="5" t="n">
        <v>12435198</v>
      </c>
      <c r="G67" s="12" t="s">
        <v>133</v>
      </c>
      <c r="H67" s="12" t="s">
        <v>184</v>
      </c>
      <c r="I67" s="13" t="s">
        <v>99</v>
      </c>
      <c r="J67" s="13" t="s">
        <v>172</v>
      </c>
      <c r="K67" s="5" t="n">
        <v>12435198</v>
      </c>
      <c r="L67" s="5" t="n">
        <f aca="false">N(F67)-N(K67)</f>
        <v>0</v>
      </c>
      <c r="M67" s="25" t="str">
        <f aca="false">IF(F67="","미션에만",IF(K67="","원장에만",IF(L67=0,"일치","금액차이")))</f>
        <v>일치</v>
      </c>
      <c r="N67" s="12"/>
    </row>
    <row r="68" customFormat="false" ht="15" hidden="false" customHeight="false" outlineLevel="0" collapsed="false">
      <c r="A68" s="12" t="n">
        <v>2025</v>
      </c>
      <c r="B68" s="12" t="n">
        <v>7</v>
      </c>
      <c r="C68" s="13" t="s">
        <v>18</v>
      </c>
      <c r="D68" s="12" t="s">
        <v>139</v>
      </c>
      <c r="E68" s="12" t="s">
        <v>185</v>
      </c>
      <c r="F68" s="5" t="n">
        <v>13924084</v>
      </c>
      <c r="G68" s="12" t="s">
        <v>139</v>
      </c>
      <c r="H68" s="12" t="s">
        <v>185</v>
      </c>
      <c r="I68" s="13" t="s">
        <v>99</v>
      </c>
      <c r="J68" s="13" t="s">
        <v>172</v>
      </c>
      <c r="K68" s="5" t="n">
        <v>13924084</v>
      </c>
      <c r="L68" s="5" t="n">
        <f aca="false">N(F68)-N(K68)</f>
        <v>0</v>
      </c>
      <c r="M68" s="25" t="str">
        <f aca="false">IF(F68="","미션에만",IF(K68="","원장에만",IF(L68=0,"일치","금액차이")))</f>
        <v>일치</v>
      </c>
      <c r="N68" s="12"/>
    </row>
    <row r="69" customFormat="false" ht="15" hidden="false" customHeight="false" outlineLevel="0" collapsed="false">
      <c r="A69" s="12" t="n">
        <v>2025</v>
      </c>
      <c r="B69" s="12" t="n">
        <v>8</v>
      </c>
      <c r="C69" s="13" t="s">
        <v>18</v>
      </c>
      <c r="D69" s="12" t="s">
        <v>61</v>
      </c>
      <c r="E69" s="12" t="s">
        <v>186</v>
      </c>
      <c r="F69" s="5" t="n">
        <v>14547297</v>
      </c>
      <c r="G69" s="12" t="s">
        <v>61</v>
      </c>
      <c r="H69" s="12" t="s">
        <v>186</v>
      </c>
      <c r="I69" s="13" t="s">
        <v>99</v>
      </c>
      <c r="J69" s="13" t="s">
        <v>172</v>
      </c>
      <c r="K69" s="5" t="n">
        <v>14547297</v>
      </c>
      <c r="L69" s="5" t="n">
        <f aca="false">N(F69)-N(K69)</f>
        <v>0</v>
      </c>
      <c r="M69" s="25" t="str">
        <f aca="false">IF(F69="","미션에만",IF(K69="","원장에만",IF(L69=0,"일치","금액차이")))</f>
        <v>일치</v>
      </c>
      <c r="N69" s="12"/>
    </row>
    <row r="70" customFormat="false" ht="15" hidden="false" customHeight="false" outlineLevel="0" collapsed="false">
      <c r="A70" s="12" t="n">
        <v>2025</v>
      </c>
      <c r="B70" s="12" t="n">
        <v>8</v>
      </c>
      <c r="C70" s="13" t="s">
        <v>18</v>
      </c>
      <c r="D70" s="12" t="s">
        <v>61</v>
      </c>
      <c r="E70" s="12" t="s">
        <v>187</v>
      </c>
      <c r="F70" s="5" t="n">
        <v>2700</v>
      </c>
      <c r="G70" s="12" t="s">
        <v>61</v>
      </c>
      <c r="H70" s="12" t="s">
        <v>188</v>
      </c>
      <c r="I70" s="13" t="s">
        <v>96</v>
      </c>
      <c r="J70" s="13" t="s">
        <v>172</v>
      </c>
      <c r="K70" s="5" t="n">
        <v>2700</v>
      </c>
      <c r="L70" s="5" t="n">
        <f aca="false">N(F70)-N(K70)</f>
        <v>0</v>
      </c>
      <c r="M70" s="25" t="str">
        <f aca="false">IF(F70="","미션에만",IF(K70="","원장에만",IF(L70=0,"일치","금액차이")))</f>
        <v>일치</v>
      </c>
      <c r="N70" s="12"/>
    </row>
    <row r="71" customFormat="false" ht="15" hidden="false" customHeight="false" outlineLevel="0" collapsed="false">
      <c r="A71" s="30" t="n">
        <v>2025</v>
      </c>
      <c r="B71" s="30" t="n">
        <v>9</v>
      </c>
      <c r="C71" s="31" t="s">
        <v>18</v>
      </c>
      <c r="D71" s="30" t="s">
        <v>29</v>
      </c>
      <c r="E71" s="30" t="s">
        <v>189</v>
      </c>
      <c r="F71" s="32" t="n">
        <v>15010317</v>
      </c>
      <c r="G71" s="30" t="s">
        <v>29</v>
      </c>
      <c r="H71" s="30" t="s">
        <v>189</v>
      </c>
      <c r="I71" s="31" t="s">
        <v>99</v>
      </c>
      <c r="J71" s="31" t="s">
        <v>190</v>
      </c>
      <c r="K71" s="32" t="n">
        <v>15010317</v>
      </c>
      <c r="L71" s="32" t="n">
        <f aca="false">N(F71)-N(K71)</f>
        <v>0</v>
      </c>
      <c r="M71" s="33" t="str">
        <f aca="false">IF(F71="","미션에만",IF(K71="","원장에만",IF(L71=0,"일치","금액차이")))</f>
        <v>일치</v>
      </c>
      <c r="N71" s="31" t="s">
        <v>191</v>
      </c>
    </row>
    <row r="72" customFormat="false" ht="15" hidden="false" customHeight="false" outlineLevel="0" collapsed="false">
      <c r="A72" s="12" t="n">
        <v>2025</v>
      </c>
      <c r="B72" s="12" t="n">
        <v>10</v>
      </c>
      <c r="C72" s="13" t="s">
        <v>18</v>
      </c>
      <c r="D72" s="12" t="s">
        <v>157</v>
      </c>
      <c r="E72" s="12" t="s">
        <v>192</v>
      </c>
      <c r="F72" s="5" t="n">
        <v>8605620</v>
      </c>
      <c r="G72" s="12" t="s">
        <v>157</v>
      </c>
      <c r="H72" s="12" t="s">
        <v>192</v>
      </c>
      <c r="I72" s="13" t="s">
        <v>99</v>
      </c>
      <c r="J72" s="13" t="s">
        <v>172</v>
      </c>
      <c r="K72" s="5" t="n">
        <v>8605620</v>
      </c>
      <c r="L72" s="5" t="n">
        <f aca="false">N(F72)-N(K72)</f>
        <v>0</v>
      </c>
      <c r="M72" s="25" t="str">
        <f aca="false">IF(F72="","미션에만",IF(K72="","원장에만",IF(L72=0,"일치","금액차이")))</f>
        <v>일치</v>
      </c>
      <c r="N72" s="12"/>
    </row>
    <row r="73" customFormat="false" ht="15" hidden="false" customHeight="false" outlineLevel="0" collapsed="false">
      <c r="A73" s="12" t="n">
        <v>2025</v>
      </c>
      <c r="B73" s="12" t="n">
        <v>11</v>
      </c>
      <c r="C73" s="13" t="s">
        <v>18</v>
      </c>
      <c r="D73" s="12" t="s">
        <v>161</v>
      </c>
      <c r="E73" s="12" t="s">
        <v>193</v>
      </c>
      <c r="F73" s="5" t="n">
        <v>51950</v>
      </c>
      <c r="G73" s="12" t="s">
        <v>161</v>
      </c>
      <c r="H73" s="12" t="s">
        <v>193</v>
      </c>
      <c r="I73" s="13" t="s">
        <v>96</v>
      </c>
      <c r="J73" s="13" t="s">
        <v>172</v>
      </c>
      <c r="K73" s="5" t="n">
        <v>51950</v>
      </c>
      <c r="L73" s="5" t="n">
        <f aca="false">N(F73)-N(K73)</f>
        <v>0</v>
      </c>
      <c r="M73" s="25" t="str">
        <f aca="false">IF(F73="","미션에만",IF(K73="","원장에만",IF(L73=0,"일치","금액차이")))</f>
        <v>일치</v>
      </c>
      <c r="N73" s="12"/>
    </row>
    <row r="74" customFormat="false" ht="15" hidden="false" customHeight="false" outlineLevel="0" collapsed="false">
      <c r="A74" s="12" t="n">
        <v>2025</v>
      </c>
      <c r="B74" s="12" t="n">
        <v>11</v>
      </c>
      <c r="C74" s="13" t="s">
        <v>18</v>
      </c>
      <c r="D74" s="12" t="s">
        <v>161</v>
      </c>
      <c r="E74" s="12" t="s">
        <v>194</v>
      </c>
      <c r="F74" s="5" t="n">
        <v>8383107</v>
      </c>
      <c r="G74" s="12" t="s">
        <v>161</v>
      </c>
      <c r="H74" s="12" t="s">
        <v>194</v>
      </c>
      <c r="I74" s="13" t="s">
        <v>99</v>
      </c>
      <c r="J74" s="13" t="s">
        <v>172</v>
      </c>
      <c r="K74" s="5" t="n">
        <v>8383107</v>
      </c>
      <c r="L74" s="5" t="n">
        <f aca="false">N(F74)-N(K74)</f>
        <v>0</v>
      </c>
      <c r="M74" s="25" t="str">
        <f aca="false">IF(F74="","미션에만",IF(K74="","원장에만",IF(L74=0,"일치","금액차이")))</f>
        <v>일치</v>
      </c>
      <c r="N74" s="12"/>
    </row>
    <row r="75" customFormat="false" ht="15" hidden="false" customHeight="false" outlineLevel="0" collapsed="false">
      <c r="A75" s="26" t="n">
        <v>2025</v>
      </c>
      <c r="B75" s="26" t="n">
        <v>12</v>
      </c>
      <c r="C75" s="27" t="s">
        <v>18</v>
      </c>
      <c r="D75" s="26" t="s">
        <v>33</v>
      </c>
      <c r="E75" s="26" t="s">
        <v>195</v>
      </c>
      <c r="F75" s="28" t="n">
        <v>-202950</v>
      </c>
      <c r="G75" s="26"/>
      <c r="H75" s="26"/>
      <c r="I75" s="26"/>
      <c r="J75" s="26"/>
      <c r="K75" s="28"/>
      <c r="L75" s="28" t="n">
        <f aca="false">N(F75)-N(K75)</f>
        <v>-202950</v>
      </c>
      <c r="M75" s="29" t="str">
        <f aca="false">IF(F75="","미션에만",IF(K75="","원장에만",IF(L75=0,"일치","금액차이")))</f>
        <v>원장에만</v>
      </c>
      <c r="N75" s="27" t="s">
        <v>196</v>
      </c>
    </row>
    <row r="76" customFormat="false" ht="15" hidden="false" customHeight="false" outlineLevel="0" collapsed="false">
      <c r="A76" s="12" t="n">
        <v>2026</v>
      </c>
      <c r="B76" s="12" t="n">
        <v>1</v>
      </c>
      <c r="C76" s="13" t="s">
        <v>17</v>
      </c>
      <c r="D76" s="12" t="s">
        <v>197</v>
      </c>
      <c r="E76" s="13" t="s">
        <v>198</v>
      </c>
      <c r="F76" s="5" t="n">
        <v>890479</v>
      </c>
      <c r="G76" s="12" t="s">
        <v>197</v>
      </c>
      <c r="H76" s="13" t="s">
        <v>128</v>
      </c>
      <c r="I76" s="13" t="s">
        <v>99</v>
      </c>
      <c r="J76" s="13" t="s">
        <v>153</v>
      </c>
      <c r="K76" s="5" t="n">
        <v>890479</v>
      </c>
      <c r="L76" s="5" t="n">
        <f aca="false">N(F76)-N(K76)</f>
        <v>0</v>
      </c>
      <c r="M76" s="25" t="str">
        <f aca="false">IF(F76="","미션에만",IF(K76="","원장에만",IF(L76=0,"일치","금액차이")))</f>
        <v>일치</v>
      </c>
      <c r="N76" s="12"/>
    </row>
    <row r="77" customFormat="false" ht="15" hidden="false" customHeight="false" outlineLevel="0" collapsed="false">
      <c r="A77" s="12" t="n">
        <v>2026</v>
      </c>
      <c r="B77" s="12" t="n">
        <v>1</v>
      </c>
      <c r="C77" s="13" t="s">
        <v>17</v>
      </c>
      <c r="D77" s="12" t="s">
        <v>197</v>
      </c>
      <c r="E77" s="13" t="s">
        <v>199</v>
      </c>
      <c r="F77" s="5" t="n">
        <v>5513460</v>
      </c>
      <c r="G77" s="12" t="s">
        <v>197</v>
      </c>
      <c r="H77" s="13" t="s">
        <v>130</v>
      </c>
      <c r="I77" s="13" t="s">
        <v>96</v>
      </c>
      <c r="J77" s="13" t="s">
        <v>153</v>
      </c>
      <c r="K77" s="5" t="n">
        <v>5513460</v>
      </c>
      <c r="L77" s="5" t="n">
        <f aca="false">N(F77)-N(K77)</f>
        <v>0</v>
      </c>
      <c r="M77" s="25" t="str">
        <f aca="false">IF(F77="","미션에만",IF(K77="","원장에만",IF(L77=0,"일치","금액차이")))</f>
        <v>일치</v>
      </c>
      <c r="N77" s="12"/>
    </row>
    <row r="78" customFormat="false" ht="15" hidden="false" customHeight="false" outlineLevel="0" collapsed="false">
      <c r="A78" s="12" t="n">
        <v>2026</v>
      </c>
      <c r="B78" s="12" t="n">
        <v>1</v>
      </c>
      <c r="C78" s="13" t="s">
        <v>17</v>
      </c>
      <c r="D78" s="12" t="s">
        <v>66</v>
      </c>
      <c r="E78" s="12" t="s">
        <v>200</v>
      </c>
      <c r="F78" s="5" t="n">
        <v>134996167</v>
      </c>
      <c r="G78" s="12" t="s">
        <v>66</v>
      </c>
      <c r="H78" s="12" t="s">
        <v>200</v>
      </c>
      <c r="I78" s="13" t="s">
        <v>99</v>
      </c>
      <c r="J78" s="13" t="s">
        <v>97</v>
      </c>
      <c r="K78" s="5" t="n">
        <v>134996167</v>
      </c>
      <c r="L78" s="5" t="n">
        <f aca="false">N(F78)-N(K78)</f>
        <v>0</v>
      </c>
      <c r="M78" s="25" t="str">
        <f aca="false">IF(F78="","미션에만",IF(K78="","원장에만",IF(L78=0,"일치","금액차이")))</f>
        <v>일치</v>
      </c>
      <c r="N78" s="12"/>
    </row>
    <row r="79" customFormat="false" ht="15" hidden="false" customHeight="false" outlineLevel="0" collapsed="false">
      <c r="A79" s="12" t="n">
        <v>2026</v>
      </c>
      <c r="B79" s="12" t="n">
        <v>2</v>
      </c>
      <c r="C79" s="13" t="s">
        <v>17</v>
      </c>
      <c r="D79" s="12" t="s">
        <v>77</v>
      </c>
      <c r="E79" s="12" t="s">
        <v>201</v>
      </c>
      <c r="F79" s="5" t="n">
        <v>98615812</v>
      </c>
      <c r="G79" s="12" t="s">
        <v>77</v>
      </c>
      <c r="H79" s="12" t="s">
        <v>201</v>
      </c>
      <c r="I79" s="13" t="s">
        <v>99</v>
      </c>
      <c r="J79" s="13" t="s">
        <v>97</v>
      </c>
      <c r="K79" s="5" t="n">
        <v>98615812</v>
      </c>
      <c r="L79" s="5" t="n">
        <f aca="false">N(F79)-N(K79)</f>
        <v>0</v>
      </c>
      <c r="M79" s="25" t="str">
        <f aca="false">IF(F79="","미션에만",IF(K79="","원장에만",IF(L79=0,"일치","금액차이")))</f>
        <v>일치</v>
      </c>
      <c r="N79" s="12"/>
    </row>
    <row r="80" customFormat="false" ht="15" hidden="false" customHeight="false" outlineLevel="0" collapsed="false">
      <c r="A80" s="12" t="n">
        <v>2026</v>
      </c>
      <c r="B80" s="12" t="n">
        <v>3</v>
      </c>
      <c r="C80" s="13" t="s">
        <v>17</v>
      </c>
      <c r="D80" s="12" t="s">
        <v>57</v>
      </c>
      <c r="E80" s="13" t="s">
        <v>202</v>
      </c>
      <c r="F80" s="5" t="n">
        <v>1713025</v>
      </c>
      <c r="G80" s="12" t="s">
        <v>57</v>
      </c>
      <c r="H80" s="13" t="s">
        <v>128</v>
      </c>
      <c r="I80" s="13" t="s">
        <v>99</v>
      </c>
      <c r="J80" s="13" t="s">
        <v>153</v>
      </c>
      <c r="K80" s="5" t="n">
        <v>1713025</v>
      </c>
      <c r="L80" s="5" t="n">
        <f aca="false">N(F80)-N(K80)</f>
        <v>0</v>
      </c>
      <c r="M80" s="25" t="str">
        <f aca="false">IF(F80="","미션에만",IF(K80="","원장에만",IF(L80=0,"일치","금액차이")))</f>
        <v>일치</v>
      </c>
      <c r="N80" s="12"/>
    </row>
    <row r="81" customFormat="false" ht="15" hidden="false" customHeight="false" outlineLevel="0" collapsed="false">
      <c r="A81" s="12" t="n">
        <v>2026</v>
      </c>
      <c r="B81" s="12" t="n">
        <v>3</v>
      </c>
      <c r="C81" s="13" t="s">
        <v>17</v>
      </c>
      <c r="D81" s="12" t="s">
        <v>57</v>
      </c>
      <c r="E81" s="13" t="s">
        <v>203</v>
      </c>
      <c r="F81" s="5" t="n">
        <v>12114918</v>
      </c>
      <c r="G81" s="12" t="s">
        <v>57</v>
      </c>
      <c r="H81" s="13" t="s">
        <v>130</v>
      </c>
      <c r="I81" s="13" t="s">
        <v>96</v>
      </c>
      <c r="J81" s="13" t="s">
        <v>153</v>
      </c>
      <c r="K81" s="5" t="n">
        <v>12114918</v>
      </c>
      <c r="L81" s="5" t="n">
        <f aca="false">N(F81)-N(K81)</f>
        <v>0</v>
      </c>
      <c r="M81" s="25" t="str">
        <f aca="false">IF(F81="","미션에만",IF(K81="","원장에만",IF(L81=0,"일치","금액차이")))</f>
        <v>일치</v>
      </c>
      <c r="N81" s="12"/>
    </row>
    <row r="82" customFormat="false" ht="15" hidden="false" customHeight="false" outlineLevel="0" collapsed="false">
      <c r="A82" s="30" t="n">
        <v>2026</v>
      </c>
      <c r="B82" s="30" t="n">
        <v>3</v>
      </c>
      <c r="C82" s="31" t="s">
        <v>17</v>
      </c>
      <c r="D82" s="30" t="s">
        <v>57</v>
      </c>
      <c r="E82" s="30" t="s">
        <v>204</v>
      </c>
      <c r="F82" s="32" t="n">
        <v>454055451</v>
      </c>
      <c r="G82" s="30" t="s">
        <v>57</v>
      </c>
      <c r="H82" s="30" t="s">
        <v>204</v>
      </c>
      <c r="I82" s="31" t="s">
        <v>99</v>
      </c>
      <c r="J82" s="31" t="s">
        <v>153</v>
      </c>
      <c r="K82" s="32" t="n">
        <v>454055451</v>
      </c>
      <c r="L82" s="32" t="n">
        <f aca="false">N(F82)-N(K82)</f>
        <v>0</v>
      </c>
      <c r="M82" s="33" t="str">
        <f aca="false">IF(F82="","미션에만",IF(K82="","원장에만",IF(L82=0,"일치","금액차이")))</f>
        <v>일치</v>
      </c>
      <c r="N82" s="31" t="s">
        <v>205</v>
      </c>
    </row>
    <row r="83" customFormat="false" ht="15" hidden="false" customHeight="false" outlineLevel="0" collapsed="false">
      <c r="A83" s="12" t="n">
        <v>2026</v>
      </c>
      <c r="B83" s="12" t="n">
        <v>4</v>
      </c>
      <c r="C83" s="13" t="s">
        <v>17</v>
      </c>
      <c r="D83" s="12" t="s">
        <v>206</v>
      </c>
      <c r="E83" s="13" t="s">
        <v>207</v>
      </c>
      <c r="F83" s="5" t="n">
        <v>1315161</v>
      </c>
      <c r="G83" s="12" t="s">
        <v>206</v>
      </c>
      <c r="H83" s="13" t="s">
        <v>128</v>
      </c>
      <c r="I83" s="13" t="s">
        <v>99</v>
      </c>
      <c r="J83" s="13" t="s">
        <v>153</v>
      </c>
      <c r="K83" s="5" t="n">
        <v>1315161</v>
      </c>
      <c r="L83" s="5" t="n">
        <f aca="false">N(F83)-N(K83)</f>
        <v>0</v>
      </c>
      <c r="M83" s="25" t="str">
        <f aca="false">IF(F83="","미션에만",IF(K83="","원장에만",IF(L83=0,"일치","금액차이")))</f>
        <v>일치</v>
      </c>
      <c r="N83" s="12"/>
    </row>
    <row r="84" customFormat="false" ht="15" hidden="false" customHeight="false" outlineLevel="0" collapsed="false">
      <c r="A84" s="12" t="n">
        <v>2026</v>
      </c>
      <c r="B84" s="12" t="n">
        <v>4</v>
      </c>
      <c r="C84" s="13" t="s">
        <v>17</v>
      </c>
      <c r="D84" s="12" t="s">
        <v>206</v>
      </c>
      <c r="E84" s="13" t="s">
        <v>208</v>
      </c>
      <c r="F84" s="5" t="n">
        <v>9138413</v>
      </c>
      <c r="G84" s="12" t="s">
        <v>206</v>
      </c>
      <c r="H84" s="13" t="s">
        <v>130</v>
      </c>
      <c r="I84" s="13" t="s">
        <v>96</v>
      </c>
      <c r="J84" s="13" t="s">
        <v>153</v>
      </c>
      <c r="K84" s="5" t="n">
        <v>9138413</v>
      </c>
      <c r="L84" s="5" t="n">
        <f aca="false">N(F84)-N(K84)</f>
        <v>0</v>
      </c>
      <c r="M84" s="25" t="str">
        <f aca="false">IF(F84="","미션에만",IF(K84="","원장에만",IF(L84=0,"일치","금액차이")))</f>
        <v>일치</v>
      </c>
      <c r="N84" s="12"/>
    </row>
    <row r="85" customFormat="false" ht="15" hidden="false" customHeight="false" outlineLevel="0" collapsed="false">
      <c r="A85" s="12" t="n">
        <v>2026</v>
      </c>
      <c r="B85" s="12" t="n">
        <v>4</v>
      </c>
      <c r="C85" s="13" t="s">
        <v>17</v>
      </c>
      <c r="D85" s="12" t="s">
        <v>119</v>
      </c>
      <c r="E85" s="12" t="s">
        <v>209</v>
      </c>
      <c r="F85" s="5" t="n">
        <v>79026918</v>
      </c>
      <c r="G85" s="12" t="s">
        <v>119</v>
      </c>
      <c r="H85" s="12" t="s">
        <v>209</v>
      </c>
      <c r="I85" s="13" t="s">
        <v>99</v>
      </c>
      <c r="J85" s="13" t="s">
        <v>97</v>
      </c>
      <c r="K85" s="5" t="n">
        <v>79026918</v>
      </c>
      <c r="L85" s="5" t="n">
        <f aca="false">N(F85)-N(K85)</f>
        <v>0</v>
      </c>
      <c r="M85" s="25" t="str">
        <f aca="false">IF(F85="","미션에만",IF(K85="","원장에만",IF(L85=0,"일치","금액차이")))</f>
        <v>일치</v>
      </c>
      <c r="N85" s="12"/>
    </row>
    <row r="86" customFormat="false" ht="15" hidden="false" customHeight="false" outlineLevel="0" collapsed="false">
      <c r="A86" s="12" t="n">
        <v>2026</v>
      </c>
      <c r="B86" s="12" t="n">
        <v>5</v>
      </c>
      <c r="C86" s="13" t="s">
        <v>17</v>
      </c>
      <c r="D86" s="12" t="s">
        <v>210</v>
      </c>
      <c r="E86" s="13" t="s">
        <v>211</v>
      </c>
      <c r="F86" s="5" t="n">
        <v>1403430</v>
      </c>
      <c r="G86" s="12" t="s">
        <v>210</v>
      </c>
      <c r="H86" s="13" t="s">
        <v>128</v>
      </c>
      <c r="I86" s="13" t="s">
        <v>99</v>
      </c>
      <c r="J86" s="13" t="s">
        <v>153</v>
      </c>
      <c r="K86" s="5" t="n">
        <v>1403430</v>
      </c>
      <c r="L86" s="5" t="n">
        <f aca="false">N(F86)-N(K86)</f>
        <v>0</v>
      </c>
      <c r="M86" s="25" t="str">
        <f aca="false">IF(F86="","미션에만",IF(K86="","원장에만",IF(L86=0,"일치","금액차이")))</f>
        <v>일치</v>
      </c>
      <c r="N86" s="12"/>
    </row>
    <row r="87" customFormat="false" ht="15" hidden="false" customHeight="false" outlineLevel="0" collapsed="false">
      <c r="A87" s="12" t="n">
        <v>2026</v>
      </c>
      <c r="B87" s="12" t="n">
        <v>5</v>
      </c>
      <c r="C87" s="13" t="s">
        <v>17</v>
      </c>
      <c r="D87" s="12" t="s">
        <v>210</v>
      </c>
      <c r="E87" s="13" t="s">
        <v>212</v>
      </c>
      <c r="F87" s="5" t="n">
        <v>9313920</v>
      </c>
      <c r="G87" s="12" t="s">
        <v>210</v>
      </c>
      <c r="H87" s="13" t="s">
        <v>130</v>
      </c>
      <c r="I87" s="13" t="s">
        <v>96</v>
      </c>
      <c r="J87" s="13" t="s">
        <v>153</v>
      </c>
      <c r="K87" s="5" t="n">
        <v>9313920</v>
      </c>
      <c r="L87" s="5" t="n">
        <f aca="false">N(F87)-N(K87)</f>
        <v>0</v>
      </c>
      <c r="M87" s="25" t="str">
        <f aca="false">IF(F87="","미션에만",IF(K87="","원장에만",IF(L87=0,"일치","금액차이")))</f>
        <v>일치</v>
      </c>
      <c r="N87" s="12"/>
    </row>
    <row r="88" customFormat="false" ht="15" hidden="false" customHeight="false" outlineLevel="0" collapsed="false">
      <c r="A88" s="12" t="n">
        <v>2026</v>
      </c>
      <c r="B88" s="12" t="n">
        <v>5</v>
      </c>
      <c r="C88" s="13" t="s">
        <v>17</v>
      </c>
      <c r="D88" s="12" t="s">
        <v>121</v>
      </c>
      <c r="E88" s="12" t="s">
        <v>213</v>
      </c>
      <c r="F88" s="5" t="n">
        <v>160859179</v>
      </c>
      <c r="G88" s="12" t="s">
        <v>121</v>
      </c>
      <c r="H88" s="12" t="s">
        <v>213</v>
      </c>
      <c r="I88" s="13" t="s">
        <v>99</v>
      </c>
      <c r="J88" s="13" t="s">
        <v>97</v>
      </c>
      <c r="K88" s="5" t="n">
        <v>160859179</v>
      </c>
      <c r="L88" s="5" t="n">
        <f aca="false">N(F88)-N(K88)</f>
        <v>0</v>
      </c>
      <c r="M88" s="25" t="str">
        <f aca="false">IF(F88="","미션에만",IF(K88="","원장에만",IF(L88=0,"일치","금액차이")))</f>
        <v>일치</v>
      </c>
      <c r="N88" s="12"/>
    </row>
    <row r="89" customFormat="false" ht="15" hidden="false" customHeight="false" outlineLevel="0" collapsed="false">
      <c r="A89" s="12" t="n">
        <v>2026</v>
      </c>
      <c r="B89" s="12" t="n">
        <v>6</v>
      </c>
      <c r="C89" s="13" t="s">
        <v>17</v>
      </c>
      <c r="D89" s="12" t="s">
        <v>214</v>
      </c>
      <c r="E89" s="13" t="s">
        <v>215</v>
      </c>
      <c r="F89" s="5" t="n">
        <v>3520062</v>
      </c>
      <c r="G89" s="12" t="s">
        <v>214</v>
      </c>
      <c r="H89" s="13" t="s">
        <v>128</v>
      </c>
      <c r="I89" s="13" t="s">
        <v>99</v>
      </c>
      <c r="J89" s="13" t="s">
        <v>153</v>
      </c>
      <c r="K89" s="5" t="n">
        <v>3520062</v>
      </c>
      <c r="L89" s="5" t="n">
        <f aca="false">N(F89)-N(K89)</f>
        <v>0</v>
      </c>
      <c r="M89" s="25" t="str">
        <f aca="false">IF(F89="","미션에만",IF(K89="","원장에만",IF(L89=0,"일치","금액차이")))</f>
        <v>일치</v>
      </c>
      <c r="N89" s="12"/>
    </row>
    <row r="90" customFormat="false" ht="15" hidden="false" customHeight="false" outlineLevel="0" collapsed="false">
      <c r="A90" s="12" t="n">
        <v>2026</v>
      </c>
      <c r="B90" s="12" t="n">
        <v>6</v>
      </c>
      <c r="C90" s="13" t="s">
        <v>17</v>
      </c>
      <c r="D90" s="12" t="s">
        <v>214</v>
      </c>
      <c r="E90" s="13" t="s">
        <v>216</v>
      </c>
      <c r="F90" s="5" t="n">
        <v>23713913</v>
      </c>
      <c r="G90" s="12" t="s">
        <v>214</v>
      </c>
      <c r="H90" s="13" t="s">
        <v>130</v>
      </c>
      <c r="I90" s="13" t="s">
        <v>96</v>
      </c>
      <c r="J90" s="13" t="s">
        <v>153</v>
      </c>
      <c r="K90" s="5" t="n">
        <v>23713913</v>
      </c>
      <c r="L90" s="5" t="n">
        <f aca="false">N(F90)-N(K90)</f>
        <v>0</v>
      </c>
      <c r="M90" s="25" t="str">
        <f aca="false">IF(F90="","미션에만",IF(K90="","원장에만",IF(L90=0,"일치","금액차이")))</f>
        <v>일치</v>
      </c>
      <c r="N90" s="12"/>
    </row>
    <row r="91" customFormat="false" ht="15" hidden="false" customHeight="false" outlineLevel="0" collapsed="false">
      <c r="A91" s="12" t="n">
        <v>2026</v>
      </c>
      <c r="B91" s="12" t="n">
        <v>6</v>
      </c>
      <c r="C91" s="13" t="s">
        <v>17</v>
      </c>
      <c r="D91" s="12" t="s">
        <v>133</v>
      </c>
      <c r="E91" s="12" t="s">
        <v>217</v>
      </c>
      <c r="F91" s="5" t="n">
        <v>230980938</v>
      </c>
      <c r="G91" s="12" t="s">
        <v>133</v>
      </c>
      <c r="H91" s="12" t="s">
        <v>217</v>
      </c>
      <c r="I91" s="13" t="s">
        <v>99</v>
      </c>
      <c r="J91" s="13" t="s">
        <v>97</v>
      </c>
      <c r="K91" s="5" t="n">
        <v>230980938</v>
      </c>
      <c r="L91" s="5" t="n">
        <f aca="false">N(F91)-N(K91)</f>
        <v>0</v>
      </c>
      <c r="M91" s="25" t="str">
        <f aca="false">IF(F91="","미션에만",IF(K91="","원장에만",IF(L91=0,"일치","금액차이")))</f>
        <v>일치</v>
      </c>
      <c r="N91" s="12"/>
    </row>
    <row r="92" customFormat="false" ht="15" hidden="false" customHeight="false" outlineLevel="0" collapsed="false">
      <c r="A92" s="12" t="n">
        <v>2026</v>
      </c>
      <c r="B92" s="12" t="n">
        <v>7</v>
      </c>
      <c r="C92" s="13" t="s">
        <v>17</v>
      </c>
      <c r="D92" s="12" t="s">
        <v>218</v>
      </c>
      <c r="E92" s="13" t="s">
        <v>219</v>
      </c>
      <c r="F92" s="5" t="n">
        <v>2305884</v>
      </c>
      <c r="G92" s="12" t="s">
        <v>218</v>
      </c>
      <c r="H92" s="13" t="s">
        <v>128</v>
      </c>
      <c r="I92" s="13" t="s">
        <v>99</v>
      </c>
      <c r="J92" s="13" t="s">
        <v>153</v>
      </c>
      <c r="K92" s="5" t="n">
        <v>2305884</v>
      </c>
      <c r="L92" s="5" t="n">
        <f aca="false">N(F92)-N(K92)</f>
        <v>0</v>
      </c>
      <c r="M92" s="25" t="str">
        <f aca="false">IF(F92="","미션에만",IF(K92="","원장에만",IF(L92=0,"일치","금액차이")))</f>
        <v>일치</v>
      </c>
      <c r="N92" s="12"/>
    </row>
    <row r="93" customFormat="false" ht="15" hidden="false" customHeight="false" outlineLevel="0" collapsed="false">
      <c r="A93" s="12" t="n">
        <v>2026</v>
      </c>
      <c r="B93" s="12" t="n">
        <v>7</v>
      </c>
      <c r="C93" s="13" t="s">
        <v>17</v>
      </c>
      <c r="D93" s="12" t="s">
        <v>218</v>
      </c>
      <c r="E93" s="13" t="s">
        <v>220</v>
      </c>
      <c r="F93" s="5" t="n">
        <v>15957881</v>
      </c>
      <c r="G93" s="12" t="s">
        <v>218</v>
      </c>
      <c r="H93" s="13" t="s">
        <v>130</v>
      </c>
      <c r="I93" s="13" t="s">
        <v>96</v>
      </c>
      <c r="J93" s="13" t="s">
        <v>153</v>
      </c>
      <c r="K93" s="5" t="n">
        <v>15957881</v>
      </c>
      <c r="L93" s="5" t="n">
        <f aca="false">N(F93)-N(K93)</f>
        <v>0</v>
      </c>
      <c r="M93" s="25" t="str">
        <f aca="false">IF(F93="","미션에만",IF(K93="","원장에만",IF(L93=0,"일치","금액차이")))</f>
        <v>일치</v>
      </c>
      <c r="N93" s="12"/>
    </row>
    <row r="94" customFormat="false" ht="15" hidden="false" customHeight="false" outlineLevel="0" collapsed="false">
      <c r="A94" s="12" t="n">
        <v>2026</v>
      </c>
      <c r="B94" s="12" t="n">
        <v>7</v>
      </c>
      <c r="C94" s="13" t="s">
        <v>17</v>
      </c>
      <c r="D94" s="12" t="s">
        <v>139</v>
      </c>
      <c r="E94" s="12" t="s">
        <v>221</v>
      </c>
      <c r="F94" s="5" t="n">
        <v>185308364</v>
      </c>
      <c r="G94" s="12" t="s">
        <v>139</v>
      </c>
      <c r="H94" s="12" t="s">
        <v>221</v>
      </c>
      <c r="I94" s="13" t="s">
        <v>99</v>
      </c>
      <c r="J94" s="13" t="s">
        <v>97</v>
      </c>
      <c r="K94" s="5" t="n">
        <v>185308364</v>
      </c>
      <c r="L94" s="5" t="n">
        <f aca="false">N(F94)-N(K94)</f>
        <v>0</v>
      </c>
      <c r="M94" s="25" t="str">
        <f aca="false">IF(F94="","미션에만",IF(K94="","원장에만",IF(L94=0,"일치","금액차이")))</f>
        <v>일치</v>
      </c>
      <c r="N94" s="12"/>
    </row>
    <row r="95" customFormat="false" ht="15" hidden="false" customHeight="false" outlineLevel="0" collapsed="false">
      <c r="A95" s="12" t="n">
        <v>2026</v>
      </c>
      <c r="B95" s="12" t="n">
        <v>8</v>
      </c>
      <c r="C95" s="13" t="s">
        <v>17</v>
      </c>
      <c r="D95" s="12" t="s">
        <v>61</v>
      </c>
      <c r="E95" s="13" t="s">
        <v>222</v>
      </c>
      <c r="F95" s="5" t="n">
        <v>4883639</v>
      </c>
      <c r="G95" s="12" t="s">
        <v>61</v>
      </c>
      <c r="H95" s="13" t="s">
        <v>128</v>
      </c>
      <c r="I95" s="13" t="s">
        <v>99</v>
      </c>
      <c r="J95" s="13" t="s">
        <v>153</v>
      </c>
      <c r="K95" s="5" t="n">
        <v>4883639</v>
      </c>
      <c r="L95" s="5" t="n">
        <f aca="false">N(F95)-N(K95)</f>
        <v>0</v>
      </c>
      <c r="M95" s="25" t="str">
        <f aca="false">IF(F95="","미션에만",IF(K95="","원장에만",IF(L95=0,"일치","금액차이")))</f>
        <v>일치</v>
      </c>
      <c r="N95" s="12"/>
    </row>
    <row r="96" customFormat="false" ht="15" hidden="false" customHeight="false" outlineLevel="0" collapsed="false">
      <c r="A96" s="30" t="n">
        <v>2026</v>
      </c>
      <c r="B96" s="30" t="n">
        <v>8</v>
      </c>
      <c r="C96" s="31" t="s">
        <v>17</v>
      </c>
      <c r="D96" s="30" t="s">
        <v>61</v>
      </c>
      <c r="E96" s="30" t="s">
        <v>223</v>
      </c>
      <c r="F96" s="32" t="n">
        <v>117283155</v>
      </c>
      <c r="G96" s="30" t="s">
        <v>61</v>
      </c>
      <c r="H96" s="30" t="s">
        <v>223</v>
      </c>
      <c r="I96" s="31" t="s">
        <v>99</v>
      </c>
      <c r="J96" s="31" t="s">
        <v>153</v>
      </c>
      <c r="K96" s="32" t="n">
        <v>117283155</v>
      </c>
      <c r="L96" s="32" t="n">
        <f aca="false">N(F96)-N(K96)</f>
        <v>0</v>
      </c>
      <c r="M96" s="33" t="str">
        <f aca="false">IF(F96="","미션에만",IF(K96="","원장에만",IF(L96=0,"일치","금액차이")))</f>
        <v>일치</v>
      </c>
      <c r="N96" s="31" t="s">
        <v>205</v>
      </c>
    </row>
    <row r="97" customFormat="false" ht="15" hidden="false" customHeight="false" outlineLevel="0" collapsed="false">
      <c r="A97" s="12" t="n">
        <v>2026</v>
      </c>
      <c r="B97" s="12" t="n">
        <v>8</v>
      </c>
      <c r="C97" s="13" t="s">
        <v>17</v>
      </c>
      <c r="D97" s="12" t="s">
        <v>61</v>
      </c>
      <c r="E97" s="13" t="s">
        <v>224</v>
      </c>
      <c r="F97" s="5" t="n">
        <v>36847267</v>
      </c>
      <c r="G97" s="12" t="s">
        <v>61</v>
      </c>
      <c r="H97" s="13" t="s">
        <v>130</v>
      </c>
      <c r="I97" s="13" t="s">
        <v>96</v>
      </c>
      <c r="J97" s="13" t="s">
        <v>153</v>
      </c>
      <c r="K97" s="5" t="n">
        <v>36847267</v>
      </c>
      <c r="L97" s="5" t="n">
        <f aca="false">N(F97)-N(K97)</f>
        <v>0</v>
      </c>
      <c r="M97" s="25" t="str">
        <f aca="false">IF(F97="","미션에만",IF(K97="","원장에만",IF(L97=0,"일치","금액차이")))</f>
        <v>일치</v>
      </c>
      <c r="N97" s="12"/>
    </row>
    <row r="98" customFormat="false" ht="15" hidden="false" customHeight="false" outlineLevel="0" collapsed="false">
      <c r="A98" s="12" t="n">
        <v>2026</v>
      </c>
      <c r="B98" s="12" t="n">
        <v>9</v>
      </c>
      <c r="C98" s="13" t="s">
        <v>17</v>
      </c>
      <c r="D98" s="12" t="s">
        <v>29</v>
      </c>
      <c r="E98" s="13" t="s">
        <v>225</v>
      </c>
      <c r="F98" s="5" t="n">
        <v>19459211</v>
      </c>
      <c r="G98" s="12" t="s">
        <v>29</v>
      </c>
      <c r="H98" s="13" t="s">
        <v>130</v>
      </c>
      <c r="I98" s="13" t="s">
        <v>96</v>
      </c>
      <c r="J98" s="13" t="s">
        <v>153</v>
      </c>
      <c r="K98" s="5" t="n">
        <v>19459211</v>
      </c>
      <c r="L98" s="5" t="n">
        <f aca="false">N(F98)-N(K98)</f>
        <v>0</v>
      </c>
      <c r="M98" s="25" t="str">
        <f aca="false">IF(F98="","미션에만",IF(K98="","원장에만",IF(L98=0,"일치","금액차이")))</f>
        <v>일치</v>
      </c>
      <c r="N98" s="12"/>
    </row>
    <row r="99" customFormat="false" ht="15" hidden="false" customHeight="false" outlineLevel="0" collapsed="false">
      <c r="A99" s="26" t="n">
        <v>2026</v>
      </c>
      <c r="B99" s="26" t="n">
        <v>9</v>
      </c>
      <c r="C99" s="27" t="s">
        <v>17</v>
      </c>
      <c r="D99" s="26"/>
      <c r="E99" s="26"/>
      <c r="F99" s="28"/>
      <c r="G99" s="26" t="s">
        <v>29</v>
      </c>
      <c r="H99" s="27" t="s">
        <v>128</v>
      </c>
      <c r="I99" s="27" t="s">
        <v>99</v>
      </c>
      <c r="J99" s="27" t="s">
        <v>153</v>
      </c>
      <c r="K99" s="28" t="n">
        <v>2160313</v>
      </c>
      <c r="L99" s="28" t="n">
        <f aca="false">N(F99)-N(K99)</f>
        <v>-2160313</v>
      </c>
      <c r="M99" s="29" t="str">
        <f aca="false">IF(F99="","미션에만",IF(K99="","원장에만",IF(L99=0,"일치","금액차이")))</f>
        <v>미션에만</v>
      </c>
      <c r="N99" s="27" t="s">
        <v>226</v>
      </c>
    </row>
    <row r="100" customFormat="false" ht="15" hidden="false" customHeight="false" outlineLevel="0" collapsed="false">
      <c r="A100" s="12" t="n">
        <v>2026</v>
      </c>
      <c r="B100" s="12" t="n">
        <v>1</v>
      </c>
      <c r="C100" s="13" t="s">
        <v>18</v>
      </c>
      <c r="D100" s="12" t="s">
        <v>66</v>
      </c>
      <c r="E100" s="12" t="s">
        <v>227</v>
      </c>
      <c r="F100" s="5" t="n">
        <v>6148630</v>
      </c>
      <c r="G100" s="12" t="s">
        <v>66</v>
      </c>
      <c r="H100" s="12" t="s">
        <v>228</v>
      </c>
      <c r="I100" s="13" t="s">
        <v>99</v>
      </c>
      <c r="J100" s="13" t="s">
        <v>172</v>
      </c>
      <c r="K100" s="5" t="n">
        <v>6148630</v>
      </c>
      <c r="L100" s="5" t="n">
        <f aca="false">N(F100)-N(K100)</f>
        <v>0</v>
      </c>
      <c r="M100" s="25" t="str">
        <f aca="false">IF(F100="","미션에만",IF(K100="","원장에만",IF(L100=0,"일치","금액차이")))</f>
        <v>일치</v>
      </c>
      <c r="N100" s="12"/>
    </row>
    <row r="101" customFormat="false" ht="15" hidden="false" customHeight="false" outlineLevel="0" collapsed="false">
      <c r="A101" s="30" t="n">
        <v>2026</v>
      </c>
      <c r="B101" s="30" t="n">
        <v>1</v>
      </c>
      <c r="C101" s="31" t="s">
        <v>18</v>
      </c>
      <c r="D101" s="30" t="s">
        <v>66</v>
      </c>
      <c r="E101" s="30" t="s">
        <v>229</v>
      </c>
      <c r="F101" s="32" t="n">
        <v>14103365</v>
      </c>
      <c r="G101" s="30" t="s">
        <v>66</v>
      </c>
      <c r="H101" s="30" t="s">
        <v>230</v>
      </c>
      <c r="I101" s="31" t="s">
        <v>99</v>
      </c>
      <c r="J101" s="31" t="s">
        <v>172</v>
      </c>
      <c r="K101" s="32" t="n">
        <v>14103365</v>
      </c>
      <c r="L101" s="32" t="n">
        <f aca="false">N(F101)-N(K101)</f>
        <v>0</v>
      </c>
      <c r="M101" s="33" t="str">
        <f aca="false">IF(F101="","미션에만",IF(K101="","원장에만",IF(L101=0,"일치","금액차이")))</f>
        <v>일치</v>
      </c>
      <c r="N101" s="31" t="s">
        <v>231</v>
      </c>
    </row>
    <row r="102" customFormat="false" ht="15" hidden="false" customHeight="false" outlineLevel="0" collapsed="false">
      <c r="A102" s="30" t="n">
        <v>2026</v>
      </c>
      <c r="B102" s="30" t="n">
        <v>1</v>
      </c>
      <c r="C102" s="31" t="s">
        <v>18</v>
      </c>
      <c r="D102" s="30" t="s">
        <v>66</v>
      </c>
      <c r="E102" s="30" t="s">
        <v>232</v>
      </c>
      <c r="F102" s="32" t="n">
        <v>324000</v>
      </c>
      <c r="G102" s="30" t="s">
        <v>66</v>
      </c>
      <c r="H102" s="30" t="s">
        <v>233</v>
      </c>
      <c r="I102" s="31" t="s">
        <v>96</v>
      </c>
      <c r="J102" s="31" t="s">
        <v>172</v>
      </c>
      <c r="K102" s="32" t="n">
        <v>324000</v>
      </c>
      <c r="L102" s="32" t="n">
        <f aca="false">N(F102)-N(K102)</f>
        <v>0</v>
      </c>
      <c r="M102" s="33" t="str">
        <f aca="false">IF(F102="","미션에만",IF(K102="","원장에만",IF(L102=0,"일치","금액차이")))</f>
        <v>일치</v>
      </c>
      <c r="N102" s="31" t="s">
        <v>231</v>
      </c>
    </row>
    <row r="103" customFormat="false" ht="15" hidden="false" customHeight="false" outlineLevel="0" collapsed="false">
      <c r="A103" s="30" t="n">
        <v>2026</v>
      </c>
      <c r="B103" s="30" t="n">
        <v>3</v>
      </c>
      <c r="C103" s="31" t="s">
        <v>18</v>
      </c>
      <c r="D103" s="30" t="s">
        <v>69</v>
      </c>
      <c r="E103" s="30" t="s">
        <v>234</v>
      </c>
      <c r="F103" s="32" t="n">
        <v>9523137</v>
      </c>
      <c r="G103" s="30" t="s">
        <v>69</v>
      </c>
      <c r="H103" s="30" t="s">
        <v>235</v>
      </c>
      <c r="I103" s="31" t="s">
        <v>99</v>
      </c>
      <c r="J103" s="31" t="s">
        <v>172</v>
      </c>
      <c r="K103" s="32" t="n">
        <v>9523137</v>
      </c>
      <c r="L103" s="32" t="n">
        <f aca="false">N(F103)-N(K103)</f>
        <v>0</v>
      </c>
      <c r="M103" s="33" t="str">
        <f aca="false">IF(F103="","미션에만",IF(K103="","원장에만",IF(L103=0,"일치","금액차이")))</f>
        <v>일치</v>
      </c>
      <c r="N103" s="31" t="s">
        <v>236</v>
      </c>
    </row>
    <row r="104" customFormat="false" ht="15" hidden="false" customHeight="false" outlineLevel="0" collapsed="false">
      <c r="A104" s="12" t="n">
        <v>2026</v>
      </c>
      <c r="B104" s="12" t="n">
        <v>3</v>
      </c>
      <c r="C104" s="13" t="s">
        <v>18</v>
      </c>
      <c r="D104" s="12" t="s">
        <v>57</v>
      </c>
      <c r="E104" s="12" t="s">
        <v>237</v>
      </c>
      <c r="F104" s="5" t="n">
        <v>17257030</v>
      </c>
      <c r="G104" s="12" t="s">
        <v>57</v>
      </c>
      <c r="H104" s="12" t="s">
        <v>237</v>
      </c>
      <c r="I104" s="13" t="s">
        <v>99</v>
      </c>
      <c r="J104" s="13" t="s">
        <v>172</v>
      </c>
      <c r="K104" s="5" t="n">
        <v>17257030</v>
      </c>
      <c r="L104" s="5" t="n">
        <f aca="false">N(F104)-N(K104)</f>
        <v>0</v>
      </c>
      <c r="M104" s="25" t="str">
        <f aca="false">IF(F104="","미션에만",IF(K104="","원장에만",IF(L104=0,"일치","금액차이")))</f>
        <v>일치</v>
      </c>
      <c r="N104" s="12"/>
    </row>
    <row r="105" customFormat="false" ht="15" hidden="false" customHeight="false" outlineLevel="0" collapsed="false">
      <c r="A105" s="30" t="n">
        <v>2026</v>
      </c>
      <c r="B105" s="30" t="n">
        <v>4</v>
      </c>
      <c r="C105" s="31" t="s">
        <v>18</v>
      </c>
      <c r="D105" s="30" t="s">
        <v>238</v>
      </c>
      <c r="E105" s="31" t="s">
        <v>239</v>
      </c>
      <c r="F105" s="32" t="n">
        <v>57750000</v>
      </c>
      <c r="G105" s="30" t="s">
        <v>238</v>
      </c>
      <c r="H105" s="31" t="s">
        <v>240</v>
      </c>
      <c r="I105" s="31" t="s">
        <v>99</v>
      </c>
      <c r="J105" s="31" t="s">
        <v>172</v>
      </c>
      <c r="K105" s="32" t="n">
        <v>57750000</v>
      </c>
      <c r="L105" s="32" t="n">
        <f aca="false">N(F105)-N(K105)</f>
        <v>0</v>
      </c>
      <c r="M105" s="33" t="str">
        <f aca="false">IF(F105="","미션에만",IF(K105="","원장에만",IF(L105=0,"일치","금액차이")))</f>
        <v>일치</v>
      </c>
      <c r="N105" s="31" t="s">
        <v>241</v>
      </c>
    </row>
    <row r="106" customFormat="false" ht="15" hidden="false" customHeight="false" outlineLevel="0" collapsed="false">
      <c r="A106" s="12" t="n">
        <v>2026</v>
      </c>
      <c r="B106" s="12" t="n">
        <v>4</v>
      </c>
      <c r="C106" s="13" t="s">
        <v>18</v>
      </c>
      <c r="D106" s="12" t="s">
        <v>119</v>
      </c>
      <c r="E106" s="12" t="s">
        <v>242</v>
      </c>
      <c r="F106" s="5" t="n">
        <v>38816621</v>
      </c>
      <c r="G106" s="12" t="s">
        <v>119</v>
      </c>
      <c r="H106" s="12" t="s">
        <v>242</v>
      </c>
      <c r="I106" s="13" t="s">
        <v>99</v>
      </c>
      <c r="J106" s="13" t="s">
        <v>172</v>
      </c>
      <c r="K106" s="5" t="n">
        <v>38816621</v>
      </c>
      <c r="L106" s="5" t="n">
        <f aca="false">N(F106)-N(K106)</f>
        <v>0</v>
      </c>
      <c r="M106" s="25" t="str">
        <f aca="false">IF(F106="","미션에만",IF(K106="","원장에만",IF(L106=0,"일치","금액차이")))</f>
        <v>일치</v>
      </c>
      <c r="N106" s="12"/>
    </row>
    <row r="107" customFormat="false" ht="15" hidden="false" customHeight="false" outlineLevel="0" collapsed="false">
      <c r="A107" s="12" t="n">
        <v>2026</v>
      </c>
      <c r="B107" s="12" t="n">
        <v>5</v>
      </c>
      <c r="C107" s="13" t="s">
        <v>18</v>
      </c>
      <c r="D107" s="12" t="s">
        <v>121</v>
      </c>
      <c r="E107" s="12" t="s">
        <v>243</v>
      </c>
      <c r="F107" s="5" t="n">
        <v>99764713</v>
      </c>
      <c r="G107" s="12" t="s">
        <v>121</v>
      </c>
      <c r="H107" s="12" t="s">
        <v>243</v>
      </c>
      <c r="I107" s="13" t="s">
        <v>99</v>
      </c>
      <c r="J107" s="13" t="s">
        <v>172</v>
      </c>
      <c r="K107" s="5" t="n">
        <v>99764713</v>
      </c>
      <c r="L107" s="5" t="n">
        <f aca="false">N(F107)-N(K107)</f>
        <v>0</v>
      </c>
      <c r="M107" s="25" t="str">
        <f aca="false">IF(F107="","미션에만",IF(K107="","원장에만",IF(L107=0,"일치","금액차이")))</f>
        <v>일치</v>
      </c>
      <c r="N107" s="12"/>
    </row>
    <row r="108" customFormat="false" ht="15" hidden="false" customHeight="false" outlineLevel="0" collapsed="false">
      <c r="A108" s="30" t="n">
        <v>2026</v>
      </c>
      <c r="B108" s="30" t="n">
        <v>6</v>
      </c>
      <c r="C108" s="31" t="s">
        <v>18</v>
      </c>
      <c r="D108" s="30" t="s">
        <v>244</v>
      </c>
      <c r="E108" s="31" t="s">
        <v>239</v>
      </c>
      <c r="F108" s="32" t="n">
        <v>-57750000</v>
      </c>
      <c r="G108" s="30" t="s">
        <v>244</v>
      </c>
      <c r="H108" s="31" t="s">
        <v>240</v>
      </c>
      <c r="I108" s="31" t="s">
        <v>99</v>
      </c>
      <c r="J108" s="31" t="s">
        <v>172</v>
      </c>
      <c r="K108" s="32" t="n">
        <v>-57750000</v>
      </c>
      <c r="L108" s="32" t="n">
        <f aca="false">N(F108)-N(K108)</f>
        <v>0</v>
      </c>
      <c r="M108" s="33" t="str">
        <f aca="false">IF(F108="","미션에만",IF(K108="","원장에만",IF(L108=0,"일치","금액차이")))</f>
        <v>일치</v>
      </c>
      <c r="N108" s="30" t="s">
        <v>245</v>
      </c>
    </row>
    <row r="109" customFormat="false" ht="15" hidden="false" customHeight="false" outlineLevel="0" collapsed="false">
      <c r="A109" s="12" t="n">
        <v>2026</v>
      </c>
      <c r="B109" s="12" t="n">
        <v>6</v>
      </c>
      <c r="C109" s="13" t="s">
        <v>18</v>
      </c>
      <c r="D109" s="12" t="s">
        <v>133</v>
      </c>
      <c r="E109" s="12" t="s">
        <v>246</v>
      </c>
      <c r="F109" s="5" t="n">
        <v>20846465</v>
      </c>
      <c r="G109" s="12" t="s">
        <v>133</v>
      </c>
      <c r="H109" s="12" t="s">
        <v>246</v>
      </c>
      <c r="I109" s="13" t="s">
        <v>99</v>
      </c>
      <c r="J109" s="13" t="s">
        <v>172</v>
      </c>
      <c r="K109" s="5" t="n">
        <v>20846465</v>
      </c>
      <c r="L109" s="5" t="n">
        <f aca="false">N(F109)-N(K109)</f>
        <v>0</v>
      </c>
      <c r="M109" s="25" t="str">
        <f aca="false">IF(F109="","미션에만",IF(K109="","원장에만",IF(L109=0,"일치","금액차이")))</f>
        <v>일치</v>
      </c>
      <c r="N109" s="12"/>
    </row>
    <row r="110" customFormat="false" ht="15" hidden="false" customHeight="false" outlineLevel="0" collapsed="false">
      <c r="A110" s="12" t="n">
        <v>2026</v>
      </c>
      <c r="B110" s="12" t="n">
        <v>7</v>
      </c>
      <c r="C110" s="13" t="s">
        <v>18</v>
      </c>
      <c r="D110" s="12" t="s">
        <v>139</v>
      </c>
      <c r="E110" s="12" t="s">
        <v>247</v>
      </c>
      <c r="F110" s="5" t="n">
        <v>284531</v>
      </c>
      <c r="G110" s="12" t="s">
        <v>139</v>
      </c>
      <c r="H110" s="12" t="s">
        <v>247</v>
      </c>
      <c r="I110" s="13" t="s">
        <v>99</v>
      </c>
      <c r="J110" s="13" t="s">
        <v>172</v>
      </c>
      <c r="K110" s="5" t="n">
        <v>284531</v>
      </c>
      <c r="L110" s="5" t="n">
        <f aca="false">N(F110)-N(K110)</f>
        <v>0</v>
      </c>
      <c r="M110" s="25" t="str">
        <f aca="false">IF(F110="","미션에만",IF(K110="","원장에만",IF(L110=0,"일치","금액차이")))</f>
        <v>일치</v>
      </c>
      <c r="N110" s="12"/>
    </row>
    <row r="111" customFormat="false" ht="15" hidden="false" customHeight="false" outlineLevel="0" collapsed="false">
      <c r="A111" s="12" t="n">
        <v>2026</v>
      </c>
      <c r="B111" s="12" t="n">
        <v>8</v>
      </c>
      <c r="C111" s="13" t="s">
        <v>18</v>
      </c>
      <c r="D111" s="12" t="s">
        <v>61</v>
      </c>
      <c r="E111" s="12" t="s">
        <v>248</v>
      </c>
      <c r="F111" s="5" t="n">
        <v>23482806</v>
      </c>
      <c r="G111" s="12" t="s">
        <v>61</v>
      </c>
      <c r="H111" s="12" t="s">
        <v>248</v>
      </c>
      <c r="I111" s="13" t="s">
        <v>99</v>
      </c>
      <c r="J111" s="13" t="s">
        <v>172</v>
      </c>
      <c r="K111" s="5" t="n">
        <v>23482806</v>
      </c>
      <c r="L111" s="5" t="n">
        <f aca="false">N(F111)-N(K111)</f>
        <v>0</v>
      </c>
      <c r="M111" s="25" t="str">
        <f aca="false">IF(F111="","미션에만",IF(K111="","원장에만",IF(L111=0,"일치","금액차이")))</f>
        <v>일치</v>
      </c>
      <c r="N111" s="12"/>
    </row>
    <row r="112" customFormat="false" ht="15" hidden="false" customHeight="false" outlineLevel="0" collapsed="false">
      <c r="A112" s="12" t="n">
        <v>2026</v>
      </c>
      <c r="B112" s="12" t="n">
        <v>8</v>
      </c>
      <c r="C112" s="13" t="s">
        <v>18</v>
      </c>
      <c r="D112" s="12" t="s">
        <v>61</v>
      </c>
      <c r="E112" s="12" t="s">
        <v>248</v>
      </c>
      <c r="F112" s="5" t="n">
        <v>23463006</v>
      </c>
      <c r="G112" s="12" t="s">
        <v>61</v>
      </c>
      <c r="H112" s="12" t="s">
        <v>248</v>
      </c>
      <c r="I112" s="13" t="s">
        <v>99</v>
      </c>
      <c r="J112" s="13" t="s">
        <v>172</v>
      </c>
      <c r="K112" s="5" t="n">
        <v>23463006</v>
      </c>
      <c r="L112" s="5" t="n">
        <f aca="false">N(F112)-N(K112)</f>
        <v>0</v>
      </c>
      <c r="M112" s="25" t="str">
        <f aca="false">IF(F112="","미션에만",IF(K112="","원장에만",IF(L112=0,"일치","금액차이")))</f>
        <v>일치</v>
      </c>
      <c r="N112" s="12"/>
    </row>
    <row r="113" customFormat="false" ht="15" hidden="false" customHeight="false" outlineLevel="0" collapsed="false">
      <c r="A113" s="12" t="n">
        <v>2026</v>
      </c>
      <c r="B113" s="12" t="n">
        <v>8</v>
      </c>
      <c r="C113" s="13" t="s">
        <v>18</v>
      </c>
      <c r="D113" s="12" t="s">
        <v>61</v>
      </c>
      <c r="E113" s="12" t="s">
        <v>248</v>
      </c>
      <c r="F113" s="5" t="n">
        <v>-23482806</v>
      </c>
      <c r="G113" s="12" t="s">
        <v>61</v>
      </c>
      <c r="H113" s="12" t="s">
        <v>248</v>
      </c>
      <c r="I113" s="13" t="s">
        <v>99</v>
      </c>
      <c r="J113" s="13" t="s">
        <v>172</v>
      </c>
      <c r="K113" s="5" t="n">
        <v>-23482806</v>
      </c>
      <c r="L113" s="5" t="n">
        <f aca="false">N(F113)-N(K113)</f>
        <v>0</v>
      </c>
      <c r="M113" s="25" t="str">
        <f aca="false">IF(F113="","미션에만",IF(K113="","원장에만",IF(L113=0,"일치","금액차이")))</f>
        <v>일치</v>
      </c>
      <c r="N113" s="12"/>
    </row>
  </sheetData>
  <autoFilter ref="A1:N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6" min="5" style="0" width="15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23</v>
      </c>
      <c r="D1" s="3" t="s">
        <v>249</v>
      </c>
      <c r="E1" s="3" t="s">
        <v>250</v>
      </c>
      <c r="F1" s="3" t="s">
        <v>251</v>
      </c>
    </row>
    <row r="2" customFormat="false" ht="15" hidden="false" customHeight="false" outlineLevel="0" collapsed="false">
      <c r="A2" s="12" t="n">
        <v>2025</v>
      </c>
      <c r="B2" s="12" t="n">
        <v>1</v>
      </c>
      <c r="C2" s="12" t="s">
        <v>252</v>
      </c>
      <c r="D2" s="13" t="s">
        <v>253</v>
      </c>
      <c r="E2" s="5"/>
      <c r="F2" s="5" t="n">
        <v>40000000</v>
      </c>
    </row>
    <row r="3" customFormat="false" ht="15" hidden="false" customHeight="false" outlineLevel="0" collapsed="false">
      <c r="A3" s="12" t="n">
        <v>2025</v>
      </c>
      <c r="B3" s="12" t="n">
        <v>2</v>
      </c>
      <c r="C3" s="12" t="s">
        <v>254</v>
      </c>
      <c r="D3" s="13" t="s">
        <v>253</v>
      </c>
      <c r="E3" s="5"/>
      <c r="F3" s="5" t="n">
        <v>50000000</v>
      </c>
    </row>
    <row r="4" customFormat="false" ht="15" hidden="false" customHeight="false" outlineLevel="0" collapsed="false">
      <c r="A4" s="12" t="n">
        <v>2025</v>
      </c>
      <c r="B4" s="12" t="n">
        <v>3</v>
      </c>
      <c r="C4" s="12" t="s">
        <v>255</v>
      </c>
      <c r="D4" s="13" t="s">
        <v>253</v>
      </c>
      <c r="E4" s="5"/>
      <c r="F4" s="5" t="n">
        <v>50000000</v>
      </c>
    </row>
    <row r="5" customFormat="false" ht="15" hidden="false" customHeight="false" outlineLevel="0" collapsed="false">
      <c r="A5" s="12" t="n">
        <v>2025</v>
      </c>
      <c r="B5" s="12" t="n">
        <v>3</v>
      </c>
      <c r="C5" s="12" t="s">
        <v>256</v>
      </c>
      <c r="D5" s="13" t="s">
        <v>253</v>
      </c>
      <c r="E5" s="5"/>
      <c r="F5" s="5" t="n">
        <v>40000000</v>
      </c>
    </row>
    <row r="6" customFormat="false" ht="15" hidden="false" customHeight="false" outlineLevel="0" collapsed="false">
      <c r="A6" s="12" t="n">
        <v>2025</v>
      </c>
      <c r="B6" s="12" t="n">
        <v>4</v>
      </c>
      <c r="C6" s="12" t="s">
        <v>257</v>
      </c>
      <c r="D6" s="13" t="s">
        <v>253</v>
      </c>
      <c r="E6" s="5"/>
      <c r="F6" s="5" t="n">
        <v>58545996</v>
      </c>
    </row>
    <row r="7" customFormat="false" ht="15" hidden="false" customHeight="false" outlineLevel="0" collapsed="false">
      <c r="A7" s="12" t="n">
        <v>2025</v>
      </c>
      <c r="B7" s="12" t="n">
        <v>4</v>
      </c>
      <c r="C7" s="12" t="s">
        <v>258</v>
      </c>
      <c r="D7" s="13" t="s">
        <v>253</v>
      </c>
      <c r="E7" s="5"/>
      <c r="F7" s="5" t="n">
        <v>50000000</v>
      </c>
    </row>
    <row r="8" customFormat="false" ht="15" hidden="false" customHeight="false" outlineLevel="0" collapsed="false">
      <c r="A8" s="12" t="n">
        <v>2025</v>
      </c>
      <c r="B8" s="12" t="n">
        <v>4</v>
      </c>
      <c r="C8" s="12" t="s">
        <v>119</v>
      </c>
      <c r="D8" s="13" t="s">
        <v>253</v>
      </c>
      <c r="E8" s="5"/>
      <c r="F8" s="5" t="n">
        <v>50000000</v>
      </c>
    </row>
    <row r="9" customFormat="false" ht="15" hidden="false" customHeight="false" outlineLevel="0" collapsed="false">
      <c r="A9" s="12" t="n">
        <v>2025</v>
      </c>
      <c r="B9" s="12" t="n">
        <v>5</v>
      </c>
      <c r="C9" s="12" t="s">
        <v>259</v>
      </c>
      <c r="D9" s="13" t="s">
        <v>253</v>
      </c>
      <c r="E9" s="5"/>
      <c r="F9" s="5" t="n">
        <v>100000000</v>
      </c>
    </row>
    <row r="10" customFormat="false" ht="15" hidden="false" customHeight="false" outlineLevel="0" collapsed="false">
      <c r="A10" s="12" t="n">
        <v>2025</v>
      </c>
      <c r="B10" s="12" t="n">
        <v>6</v>
      </c>
      <c r="C10" s="12" t="s">
        <v>260</v>
      </c>
      <c r="D10" s="13" t="s">
        <v>253</v>
      </c>
      <c r="E10" s="5"/>
      <c r="F10" s="5" t="n">
        <v>22454593</v>
      </c>
    </row>
    <row r="11" customFormat="false" ht="15" hidden="false" customHeight="false" outlineLevel="0" collapsed="false">
      <c r="A11" s="12" t="n">
        <v>2025</v>
      </c>
      <c r="B11" s="12" t="n">
        <v>6</v>
      </c>
      <c r="C11" s="12" t="s">
        <v>260</v>
      </c>
      <c r="D11" s="13" t="s">
        <v>253</v>
      </c>
      <c r="E11" s="5"/>
      <c r="F11" s="5" t="n">
        <v>16926035</v>
      </c>
    </row>
    <row r="12" customFormat="false" ht="15" hidden="false" customHeight="false" outlineLevel="0" collapsed="false">
      <c r="A12" s="12" t="n">
        <v>2025</v>
      </c>
      <c r="B12" s="12" t="n">
        <v>7</v>
      </c>
      <c r="C12" s="12" t="s">
        <v>261</v>
      </c>
      <c r="D12" s="13" t="s">
        <v>253</v>
      </c>
      <c r="E12" s="5"/>
      <c r="F12" s="5" t="n">
        <v>120000000</v>
      </c>
    </row>
    <row r="13" customFormat="false" ht="15" hidden="false" customHeight="false" outlineLevel="0" collapsed="false">
      <c r="A13" s="12" t="n">
        <v>2025</v>
      </c>
      <c r="B13" s="12" t="n">
        <v>7</v>
      </c>
      <c r="C13" s="12" t="s">
        <v>262</v>
      </c>
      <c r="D13" s="13" t="s">
        <v>253</v>
      </c>
      <c r="E13" s="5"/>
      <c r="F13" s="5" t="n">
        <v>30000000</v>
      </c>
    </row>
    <row r="14" customFormat="false" ht="15" hidden="false" customHeight="false" outlineLevel="0" collapsed="false">
      <c r="A14" s="12" t="n">
        <v>2025</v>
      </c>
      <c r="B14" s="12" t="n">
        <v>7</v>
      </c>
      <c r="C14" s="12" t="s">
        <v>139</v>
      </c>
      <c r="D14" s="13" t="s">
        <v>253</v>
      </c>
      <c r="E14" s="5"/>
      <c r="F14" s="5" t="n">
        <v>11405994</v>
      </c>
    </row>
    <row r="15" customFormat="false" ht="15" hidden="false" customHeight="false" outlineLevel="0" collapsed="false">
      <c r="A15" s="12" t="n">
        <v>2025</v>
      </c>
      <c r="B15" s="12" t="n">
        <v>7</v>
      </c>
      <c r="C15" s="12" t="s">
        <v>139</v>
      </c>
      <c r="D15" s="13" t="s">
        <v>253</v>
      </c>
      <c r="E15" s="5"/>
      <c r="F15" s="5" t="n">
        <v>80000000</v>
      </c>
    </row>
    <row r="16" customFormat="false" ht="15" hidden="false" customHeight="false" outlineLevel="0" collapsed="false">
      <c r="A16" s="12" t="n">
        <v>2025</v>
      </c>
      <c r="B16" s="12" t="n">
        <v>8</v>
      </c>
      <c r="C16" s="12" t="s">
        <v>263</v>
      </c>
      <c r="D16" s="13" t="s">
        <v>253</v>
      </c>
      <c r="E16" s="5"/>
      <c r="F16" s="5" t="n">
        <v>40000000</v>
      </c>
    </row>
    <row r="17" customFormat="false" ht="15" hidden="false" customHeight="false" outlineLevel="0" collapsed="false">
      <c r="A17" s="12" t="n">
        <v>2025</v>
      </c>
      <c r="B17" s="12" t="n">
        <v>8</v>
      </c>
      <c r="C17" s="12" t="s">
        <v>264</v>
      </c>
      <c r="D17" s="13" t="s">
        <v>253</v>
      </c>
      <c r="E17" s="5"/>
      <c r="F17" s="5" t="n">
        <v>30000000</v>
      </c>
    </row>
    <row r="18" customFormat="false" ht="15" hidden="false" customHeight="false" outlineLevel="0" collapsed="false">
      <c r="A18" s="12" t="n">
        <v>2025</v>
      </c>
      <c r="B18" s="12" t="n">
        <v>8</v>
      </c>
      <c r="C18" s="12" t="s">
        <v>265</v>
      </c>
      <c r="D18" s="13" t="s">
        <v>253</v>
      </c>
      <c r="E18" s="5"/>
      <c r="F18" s="5" t="n">
        <v>14240288</v>
      </c>
    </row>
    <row r="19" customFormat="false" ht="15" hidden="false" customHeight="false" outlineLevel="0" collapsed="false">
      <c r="A19" s="12" t="n">
        <v>2025</v>
      </c>
      <c r="B19" s="12" t="n">
        <v>9</v>
      </c>
      <c r="C19" s="12" t="s">
        <v>266</v>
      </c>
      <c r="D19" s="13" t="s">
        <v>253</v>
      </c>
      <c r="E19" s="5"/>
      <c r="F19" s="5" t="n">
        <v>100000000</v>
      </c>
    </row>
    <row r="20" customFormat="false" ht="15" hidden="false" customHeight="false" outlineLevel="0" collapsed="false">
      <c r="A20" s="12" t="n">
        <v>2025</v>
      </c>
      <c r="B20" s="12" t="n">
        <v>9</v>
      </c>
      <c r="C20" s="12" t="s">
        <v>267</v>
      </c>
      <c r="D20" s="13" t="s">
        <v>253</v>
      </c>
      <c r="E20" s="5"/>
      <c r="F20" s="5" t="n">
        <v>30000000</v>
      </c>
    </row>
    <row r="21" customFormat="false" ht="15" hidden="false" customHeight="false" outlineLevel="0" collapsed="false">
      <c r="A21" s="12" t="n">
        <v>2025</v>
      </c>
      <c r="B21" s="12" t="n">
        <v>9</v>
      </c>
      <c r="C21" s="12" t="s">
        <v>268</v>
      </c>
      <c r="D21" s="13" t="s">
        <v>253</v>
      </c>
      <c r="E21" s="5"/>
      <c r="F21" s="5" t="n">
        <v>21574549</v>
      </c>
    </row>
    <row r="22" customFormat="false" ht="15" hidden="false" customHeight="false" outlineLevel="0" collapsed="false">
      <c r="A22" s="12" t="n">
        <v>2025</v>
      </c>
      <c r="B22" s="12" t="n">
        <v>9</v>
      </c>
      <c r="C22" s="12" t="s">
        <v>269</v>
      </c>
      <c r="D22" s="13" t="s">
        <v>253</v>
      </c>
      <c r="E22" s="5"/>
      <c r="F22" s="5" t="n">
        <v>20000000</v>
      </c>
    </row>
    <row r="23" customFormat="false" ht="15" hidden="false" customHeight="false" outlineLevel="0" collapsed="false">
      <c r="A23" s="12" t="n">
        <v>2025</v>
      </c>
      <c r="B23" s="12" t="n">
        <v>10</v>
      </c>
      <c r="C23" s="12" t="s">
        <v>270</v>
      </c>
      <c r="D23" s="13" t="s">
        <v>253</v>
      </c>
      <c r="E23" s="5"/>
      <c r="F23" s="5" t="n">
        <v>120000000</v>
      </c>
    </row>
    <row r="24" customFormat="false" ht="15" hidden="false" customHeight="false" outlineLevel="0" collapsed="false">
      <c r="A24" s="12" t="n">
        <v>2025</v>
      </c>
      <c r="B24" s="12" t="n">
        <v>10</v>
      </c>
      <c r="C24" s="12" t="s">
        <v>271</v>
      </c>
      <c r="D24" s="13" t="s">
        <v>272</v>
      </c>
      <c r="E24" s="5"/>
      <c r="F24" s="5" t="n">
        <v>57376405</v>
      </c>
    </row>
    <row r="25" customFormat="false" ht="15" hidden="false" customHeight="false" outlineLevel="0" collapsed="false">
      <c r="A25" s="12" t="n">
        <v>2025</v>
      </c>
      <c r="B25" s="12" t="n">
        <v>11</v>
      </c>
      <c r="C25" s="12" t="s">
        <v>273</v>
      </c>
      <c r="D25" s="13" t="s">
        <v>253</v>
      </c>
      <c r="E25" s="5"/>
      <c r="F25" s="5" t="n">
        <v>100000000</v>
      </c>
    </row>
    <row r="26" customFormat="false" ht="15" hidden="false" customHeight="false" outlineLevel="0" collapsed="false">
      <c r="A26" s="12" t="n">
        <v>2025</v>
      </c>
      <c r="B26" s="12" t="n">
        <v>12</v>
      </c>
      <c r="C26" s="12" t="s">
        <v>164</v>
      </c>
      <c r="D26" s="13" t="s">
        <v>274</v>
      </c>
      <c r="E26" s="5"/>
      <c r="F26" s="5" t="n">
        <v>102134607</v>
      </c>
    </row>
    <row r="27" customFormat="false" ht="15" hidden="false" customHeight="false" outlineLevel="0" collapsed="false">
      <c r="A27" s="12" t="n">
        <v>2025</v>
      </c>
      <c r="B27" s="12" t="n">
        <v>12</v>
      </c>
      <c r="C27" s="12" t="s">
        <v>275</v>
      </c>
      <c r="D27" s="13" t="s">
        <v>253</v>
      </c>
      <c r="E27" s="5"/>
      <c r="F27" s="5" t="n">
        <v>50000000</v>
      </c>
    </row>
    <row r="28" customFormat="false" ht="15" hidden="false" customHeight="false" outlineLevel="0" collapsed="false">
      <c r="A28" s="12" t="n">
        <v>2026</v>
      </c>
      <c r="B28" s="12" t="n">
        <v>1</v>
      </c>
      <c r="C28" s="12" t="s">
        <v>276</v>
      </c>
      <c r="D28" s="13" t="s">
        <v>277</v>
      </c>
      <c r="E28" s="5"/>
      <c r="F28" s="5" t="n">
        <v>82731646</v>
      </c>
    </row>
    <row r="29" customFormat="false" ht="15" hidden="false" customHeight="false" outlineLevel="0" collapsed="false">
      <c r="A29" s="12" t="n">
        <v>2026</v>
      </c>
      <c r="B29" s="12" t="n">
        <v>1</v>
      </c>
      <c r="C29" s="12" t="s">
        <v>278</v>
      </c>
      <c r="D29" s="13" t="s">
        <v>277</v>
      </c>
      <c r="E29" s="5"/>
      <c r="F29" s="5" t="n">
        <v>51099831</v>
      </c>
    </row>
    <row r="30" customFormat="false" ht="15" hidden="false" customHeight="false" outlineLevel="0" collapsed="false">
      <c r="A30" s="12" t="n">
        <v>2026</v>
      </c>
      <c r="B30" s="12" t="n">
        <v>1</v>
      </c>
      <c r="C30" s="12" t="s">
        <v>278</v>
      </c>
      <c r="D30" s="13" t="s">
        <v>279</v>
      </c>
      <c r="E30" s="5"/>
      <c r="F30" s="5" t="n">
        <v>13000000</v>
      </c>
    </row>
    <row r="31" customFormat="false" ht="15" hidden="false" customHeight="false" outlineLevel="0" collapsed="false">
      <c r="A31" s="12" t="n">
        <v>2026</v>
      </c>
      <c r="B31" s="12" t="n">
        <v>2</v>
      </c>
      <c r="C31" s="12" t="s">
        <v>254</v>
      </c>
      <c r="D31" s="13" t="s">
        <v>280</v>
      </c>
      <c r="E31" s="5"/>
      <c r="F31" s="5" t="n">
        <v>70000000</v>
      </c>
    </row>
    <row r="32" customFormat="false" ht="15" hidden="false" customHeight="false" outlineLevel="0" collapsed="false">
      <c r="A32" s="12" t="n">
        <v>2026</v>
      </c>
      <c r="B32" s="12" t="n">
        <v>2</v>
      </c>
      <c r="C32" s="12" t="s">
        <v>281</v>
      </c>
      <c r="D32" s="13" t="s">
        <v>280</v>
      </c>
      <c r="E32" s="5"/>
      <c r="F32" s="5" t="n">
        <v>50000000</v>
      </c>
    </row>
    <row r="33" customFormat="false" ht="15" hidden="false" customHeight="false" outlineLevel="0" collapsed="false">
      <c r="A33" s="12" t="n">
        <v>2026</v>
      </c>
      <c r="B33" s="12" t="n">
        <v>3</v>
      </c>
      <c r="C33" s="12" t="s">
        <v>282</v>
      </c>
      <c r="D33" s="13" t="s">
        <v>280</v>
      </c>
      <c r="E33" s="5"/>
      <c r="F33" s="5" t="n">
        <v>15251476</v>
      </c>
    </row>
    <row r="34" customFormat="false" ht="15" hidden="false" customHeight="false" outlineLevel="0" collapsed="false">
      <c r="A34" s="12" t="n">
        <v>2026</v>
      </c>
      <c r="B34" s="12" t="n">
        <v>3</v>
      </c>
      <c r="C34" s="12" t="s">
        <v>283</v>
      </c>
      <c r="D34" s="13" t="s">
        <v>284</v>
      </c>
      <c r="E34" s="5"/>
      <c r="F34" s="5" t="n">
        <v>30000000</v>
      </c>
    </row>
    <row r="35" customFormat="false" ht="15" hidden="false" customHeight="false" outlineLevel="0" collapsed="false">
      <c r="A35" s="12" t="n">
        <v>2026</v>
      </c>
      <c r="B35" s="12" t="n">
        <v>3</v>
      </c>
      <c r="C35" s="12" t="s">
        <v>285</v>
      </c>
      <c r="D35" s="13" t="s">
        <v>286</v>
      </c>
      <c r="E35" s="5" t="n">
        <v>57750000</v>
      </c>
      <c r="F35" s="5"/>
    </row>
    <row r="36" customFormat="false" ht="15" hidden="false" customHeight="false" outlineLevel="0" collapsed="false">
      <c r="A36" s="12" t="n">
        <v>2026</v>
      </c>
      <c r="B36" s="12" t="n">
        <v>4</v>
      </c>
      <c r="C36" s="12" t="s">
        <v>257</v>
      </c>
      <c r="D36" s="13" t="s">
        <v>284</v>
      </c>
      <c r="E36" s="5"/>
      <c r="F36" s="5" t="n">
        <v>59092675</v>
      </c>
    </row>
    <row r="37" customFormat="false" ht="15" hidden="false" customHeight="false" outlineLevel="0" collapsed="false">
      <c r="A37" s="12" t="n">
        <v>2026</v>
      </c>
      <c r="B37" s="12" t="n">
        <v>4</v>
      </c>
      <c r="C37" s="12" t="s">
        <v>116</v>
      </c>
      <c r="D37" s="13" t="s">
        <v>253</v>
      </c>
      <c r="E37" s="5" t="n">
        <v>57750000</v>
      </c>
      <c r="F37" s="5"/>
    </row>
    <row r="38" customFormat="false" ht="15" hidden="false" customHeight="false" outlineLevel="0" collapsed="false">
      <c r="A38" s="12" t="n">
        <v>2026</v>
      </c>
      <c r="B38" s="12" t="n">
        <v>4</v>
      </c>
      <c r="C38" s="12" t="s">
        <v>119</v>
      </c>
      <c r="D38" s="13" t="s">
        <v>287</v>
      </c>
      <c r="E38" s="5"/>
      <c r="F38" s="5" t="n">
        <v>100000000</v>
      </c>
    </row>
    <row r="39" customFormat="false" ht="15" hidden="false" customHeight="false" outlineLevel="0" collapsed="false">
      <c r="A39" s="12" t="n">
        <v>2026</v>
      </c>
      <c r="B39" s="12" t="n">
        <v>5</v>
      </c>
      <c r="C39" s="12" t="s">
        <v>288</v>
      </c>
      <c r="D39" s="13" t="s">
        <v>289</v>
      </c>
      <c r="E39" s="5"/>
      <c r="F39" s="5" t="n">
        <v>100000000</v>
      </c>
    </row>
    <row r="40" customFormat="false" ht="15" hidden="false" customHeight="false" outlineLevel="0" collapsed="false">
      <c r="A40" s="12" t="n">
        <v>2026</v>
      </c>
      <c r="B40" s="12" t="n">
        <v>5</v>
      </c>
      <c r="C40" s="12" t="s">
        <v>290</v>
      </c>
      <c r="D40" s="13" t="s">
        <v>289</v>
      </c>
      <c r="E40" s="5"/>
      <c r="F40" s="5" t="n">
        <v>37904324</v>
      </c>
    </row>
    <row r="41" customFormat="false" ht="15" hidden="false" customHeight="false" outlineLevel="0" collapsed="false">
      <c r="A41" s="12" t="n">
        <v>2026</v>
      </c>
      <c r="B41" s="12" t="n">
        <v>5</v>
      </c>
      <c r="C41" s="12" t="s">
        <v>291</v>
      </c>
      <c r="D41" s="13" t="s">
        <v>287</v>
      </c>
      <c r="E41" s="5"/>
      <c r="F41" s="5" t="n">
        <v>100000000</v>
      </c>
    </row>
    <row r="42" customFormat="false" ht="15" hidden="false" customHeight="false" outlineLevel="0" collapsed="false">
      <c r="A42" s="12" t="n">
        <v>2026</v>
      </c>
      <c r="B42" s="12" t="n">
        <v>6</v>
      </c>
      <c r="C42" s="12" t="s">
        <v>260</v>
      </c>
      <c r="D42" s="13" t="s">
        <v>287</v>
      </c>
      <c r="E42" s="5"/>
      <c r="F42" s="5" t="n">
        <v>63385911</v>
      </c>
    </row>
    <row r="43" customFormat="false" ht="15" hidden="false" customHeight="false" outlineLevel="0" collapsed="false">
      <c r="A43" s="12" t="n">
        <v>2026</v>
      </c>
      <c r="B43" s="12" t="n">
        <v>6</v>
      </c>
      <c r="C43" s="12" t="s">
        <v>292</v>
      </c>
      <c r="D43" s="12" t="s">
        <v>293</v>
      </c>
      <c r="E43" s="5"/>
      <c r="F43" s="5" t="n">
        <v>50000000</v>
      </c>
    </row>
    <row r="44" customFormat="false" ht="15" hidden="false" customHeight="false" outlineLevel="0" collapsed="false">
      <c r="A44" s="12" t="n">
        <v>2026</v>
      </c>
      <c r="B44" s="12" t="n">
        <v>6</v>
      </c>
      <c r="C44" s="12" t="s">
        <v>294</v>
      </c>
      <c r="D44" s="13" t="s">
        <v>295</v>
      </c>
      <c r="E44" s="5"/>
      <c r="F44" s="5" t="n">
        <v>50000000</v>
      </c>
    </row>
    <row r="45" customFormat="false" ht="15" hidden="false" customHeight="false" outlineLevel="0" collapsed="false">
      <c r="A45" s="12" t="n">
        <v>2026</v>
      </c>
      <c r="B45" s="12" t="n">
        <v>6</v>
      </c>
      <c r="C45" s="12" t="s">
        <v>296</v>
      </c>
      <c r="D45" s="13" t="s">
        <v>295</v>
      </c>
      <c r="E45" s="5"/>
      <c r="F45" s="5" t="n">
        <v>30000000</v>
      </c>
    </row>
    <row r="46" customFormat="false" ht="15" hidden="false" customHeight="false" outlineLevel="0" collapsed="false">
      <c r="A46" s="12" t="n">
        <v>2026</v>
      </c>
      <c r="B46" s="12" t="n">
        <v>7</v>
      </c>
      <c r="C46" s="12" t="s">
        <v>297</v>
      </c>
      <c r="D46" s="13" t="s">
        <v>298</v>
      </c>
      <c r="E46" s="5"/>
      <c r="F46" s="5" t="n">
        <v>40000000</v>
      </c>
    </row>
    <row r="47" customFormat="false" ht="15" hidden="false" customHeight="false" outlineLevel="0" collapsed="false">
      <c r="A47" s="12" t="n">
        <v>2026</v>
      </c>
      <c r="B47" s="12" t="n">
        <v>7</v>
      </c>
      <c r="C47" s="12" t="s">
        <v>299</v>
      </c>
      <c r="D47" s="13" t="s">
        <v>298</v>
      </c>
      <c r="E47" s="5"/>
      <c r="F47" s="5" t="n">
        <v>40000000</v>
      </c>
    </row>
    <row r="48" customFormat="false" ht="15" hidden="false" customHeight="false" outlineLevel="0" collapsed="false">
      <c r="A48" s="12" t="n">
        <v>2026</v>
      </c>
      <c r="B48" s="12" t="n">
        <v>7</v>
      </c>
      <c r="C48" s="12" t="s">
        <v>300</v>
      </c>
      <c r="D48" s="13" t="s">
        <v>298</v>
      </c>
      <c r="E48" s="5"/>
      <c r="F48" s="5" t="n">
        <v>40000000</v>
      </c>
    </row>
    <row r="49" customFormat="false" ht="15" hidden="false" customHeight="false" outlineLevel="0" collapsed="false">
      <c r="A49" s="12" t="n">
        <v>2026</v>
      </c>
      <c r="B49" s="12" t="n">
        <v>7</v>
      </c>
      <c r="C49" s="12" t="s">
        <v>301</v>
      </c>
      <c r="D49" s="13" t="s">
        <v>298</v>
      </c>
      <c r="E49" s="5"/>
      <c r="F49" s="5" t="n">
        <v>40000000</v>
      </c>
    </row>
    <row r="50" customFormat="false" ht="15" hidden="false" customHeight="false" outlineLevel="0" collapsed="false">
      <c r="A50" s="12" t="n">
        <v>2026</v>
      </c>
      <c r="B50" s="12" t="n">
        <v>7</v>
      </c>
      <c r="C50" s="12" t="s">
        <v>139</v>
      </c>
      <c r="D50" s="13" t="s">
        <v>298</v>
      </c>
      <c r="E50" s="5"/>
      <c r="F50" s="5" t="n">
        <v>20000000</v>
      </c>
    </row>
    <row r="51" customFormat="false" ht="15" hidden="false" customHeight="false" outlineLevel="0" collapsed="false">
      <c r="A51" s="12" t="n">
        <v>2026</v>
      </c>
      <c r="B51" s="12" t="n">
        <v>8</v>
      </c>
      <c r="C51" s="12" t="s">
        <v>263</v>
      </c>
      <c r="D51" s="13" t="s">
        <v>298</v>
      </c>
      <c r="E51" s="5"/>
      <c r="F51" s="5" t="n">
        <v>20000000</v>
      </c>
    </row>
    <row r="52" customFormat="false" ht="15" hidden="false" customHeight="false" outlineLevel="0" collapsed="false">
      <c r="A52" s="12" t="n">
        <v>2026</v>
      </c>
      <c r="B52" s="12" t="n">
        <v>8</v>
      </c>
      <c r="C52" s="12" t="s">
        <v>302</v>
      </c>
      <c r="D52" s="13" t="s">
        <v>298</v>
      </c>
      <c r="E52" s="5"/>
      <c r="F52" s="5" t="n">
        <v>29180264</v>
      </c>
    </row>
    <row r="53" customFormat="false" ht="15" hidden="false" customHeight="false" outlineLevel="0" collapsed="false">
      <c r="A53" s="12" t="n">
        <v>2026</v>
      </c>
      <c r="B53" s="12" t="n">
        <v>8</v>
      </c>
      <c r="C53" s="12" t="s">
        <v>303</v>
      </c>
      <c r="D53" s="13" t="s">
        <v>304</v>
      </c>
      <c r="E53" s="5"/>
      <c r="F53" s="5" t="n">
        <v>20000000</v>
      </c>
    </row>
    <row r="54" customFormat="false" ht="15" hidden="false" customHeight="false" outlineLevel="0" collapsed="false">
      <c r="A54" s="12" t="n">
        <v>2026</v>
      </c>
      <c r="B54" s="12" t="n">
        <v>8</v>
      </c>
      <c r="C54" s="12" t="s">
        <v>305</v>
      </c>
      <c r="D54" s="13" t="s">
        <v>304</v>
      </c>
      <c r="E54" s="5"/>
      <c r="F54" s="5" t="n">
        <v>83287598</v>
      </c>
    </row>
    <row r="55" customFormat="false" ht="15" hidden="false" customHeight="false" outlineLevel="0" collapsed="false">
      <c r="A55" s="12" t="n">
        <v>2026</v>
      </c>
      <c r="B55" s="12" t="n">
        <v>9</v>
      </c>
      <c r="C55" s="12" t="s">
        <v>306</v>
      </c>
      <c r="D55" s="13" t="s">
        <v>304</v>
      </c>
      <c r="E55" s="5"/>
      <c r="F55" s="5" t="n">
        <v>50000000</v>
      </c>
    </row>
    <row r="56" customFormat="false" ht="15" hidden="false" customHeight="false" outlineLevel="0" collapsed="false">
      <c r="A56" s="12" t="n">
        <v>2026</v>
      </c>
      <c r="B56" s="12" t="n">
        <v>9</v>
      </c>
      <c r="C56" s="12" t="s">
        <v>267</v>
      </c>
      <c r="D56" s="13" t="s">
        <v>304</v>
      </c>
      <c r="E56" s="5"/>
      <c r="F56" s="5" t="n">
        <v>50000000</v>
      </c>
    </row>
    <row r="57" customFormat="false" ht="15" hidden="false" customHeight="false" outlineLevel="0" collapsed="false">
      <c r="A57" s="12" t="n">
        <v>2026</v>
      </c>
      <c r="B57" s="12" t="n">
        <v>9</v>
      </c>
      <c r="C57" s="12" t="s">
        <v>307</v>
      </c>
      <c r="D57" s="13" t="s">
        <v>308</v>
      </c>
      <c r="E57" s="5"/>
      <c r="F57" s="5" t="n">
        <v>50000000</v>
      </c>
    </row>
    <row r="58" customFormat="false" ht="15" hidden="false" customHeight="false" outlineLevel="0" collapsed="false">
      <c r="A58" s="12" t="n">
        <v>2026</v>
      </c>
      <c r="B58" s="12" t="n">
        <v>9</v>
      </c>
      <c r="C58" s="12" t="s">
        <v>29</v>
      </c>
      <c r="D58" s="13" t="s">
        <v>309</v>
      </c>
      <c r="E58" s="5"/>
      <c r="F58" s="5" t="n">
        <v>50000000</v>
      </c>
    </row>
    <row r="59" customFormat="false" ht="15" hidden="false" customHeight="false" outlineLevel="0" collapsed="false">
      <c r="A59" s="12" t="n">
        <v>2026</v>
      </c>
      <c r="B59" s="12" t="n">
        <v>10</v>
      </c>
      <c r="C59" s="12" t="s">
        <v>270</v>
      </c>
      <c r="D59" s="13" t="s">
        <v>309</v>
      </c>
      <c r="E59" s="5"/>
      <c r="F59" s="5" t="n">
        <v>35531255</v>
      </c>
    </row>
    <row r="60" customFormat="false" ht="15" hidden="false" customHeight="false" outlineLevel="0" collapsed="false">
      <c r="D60" s="34" t="s">
        <v>310</v>
      </c>
      <c r="E60" s="35" t="n">
        <f aca="false">SUM(E2:E59)</f>
        <v>115500000</v>
      </c>
      <c r="F60" s="35" t="n">
        <f aca="false">SUM(F2:F59)</f>
        <v>2875123447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2026-10-08T06:09:23Z</dcterms:created>
  <dc:creator>openpyxl</dc:creator>
  <dc:description/>
  <dc:language>en-US</dc:language>
  <cp:lastModifiedBy/>
  <dcterms:modified xsi:type="dcterms:W3CDTF">2026-10-08T06:09:23Z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